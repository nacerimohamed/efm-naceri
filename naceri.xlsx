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7620"/>
  </bookViews>
  <sheets>
    <sheet name="Frontend" sheetId="5" r:id="rId1"/>
    <sheet name="Sheet2" sheetId="3" r:id="rId2"/>
    <sheet name="Assurances_Auto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<sst xmlns="http://schemas.openxmlformats.org/spreadsheetml/2006/main" count="347" uniqueCount="172">
  <si>
    <t>Row Labels</t>
  </si>
  <si>
    <t>Count of ID_Client</t>
  </si>
  <si>
    <t>Sum of Prime_Totale</t>
  </si>
  <si>
    <t>Count of Prime_Totale</t>
  </si>
  <si>
    <t>Agadir</t>
  </si>
  <si>
    <t>Camion</t>
  </si>
  <si>
    <t>Tiers</t>
  </si>
  <si>
    <t>Casablanca</t>
  </si>
  <si>
    <t>Moto</t>
  </si>
  <si>
    <t>Tiers+</t>
  </si>
  <si>
    <t>Fes</t>
  </si>
  <si>
    <t>Voiture</t>
  </si>
  <si>
    <t>Tous Risques</t>
  </si>
  <si>
    <t>Marrakech</t>
  </si>
  <si>
    <t>(blank)</t>
  </si>
  <si>
    <t>Ouarzazate</t>
  </si>
  <si>
    <t>Grand Total</t>
  </si>
  <si>
    <t>Rabat</t>
  </si>
  <si>
    <t>Ait Brahim</t>
  </si>
  <si>
    <t>El Hachimi</t>
  </si>
  <si>
    <t>Karrouchi</t>
  </si>
  <si>
    <t>Count of CIN</t>
  </si>
  <si>
    <t>Kouhen</t>
  </si>
  <si>
    <t>Premium</t>
  </si>
  <si>
    <t>Ouhmid</t>
  </si>
  <si>
    <t>VIP</t>
  </si>
  <si>
    <t>janv</t>
  </si>
  <si>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</si>
  <si>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</si>
  <si>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</si>
  <si>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</si>
  <si>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</si>
  <si>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</si>
  <si>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</si>
  <si>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</si>
  <si>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</si>
  <si>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</si>
  <si>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</si>
  <si>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</si>
  <si>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</si>
  <si>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</si>
  <si>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</si>
  <si>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</si>
  <si>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</si>
  <si>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classement</t>
  </si>
  <si>
    <t>El Amrani</t>
  </si>
  <si>
    <t>Youssef</t>
  </si>
  <si>
    <t>AB00001</t>
  </si>
  <si>
    <t>Renault</t>
  </si>
  <si>
    <t>Ait Lahcen</t>
  </si>
  <si>
    <t>Fatima</t>
  </si>
  <si>
    <t>AB00002</t>
  </si>
  <si>
    <t>Toyota</t>
  </si>
  <si>
    <t>Benali</t>
  </si>
  <si>
    <t>Ahmed</t>
  </si>
  <si>
    <t>AB00003</t>
  </si>
  <si>
    <t>Hyundai</t>
  </si>
  <si>
    <t>El Idrissi</t>
  </si>
  <si>
    <t>Salma</t>
  </si>
  <si>
    <t>AB00004</t>
  </si>
  <si>
    <t>Ford</t>
  </si>
  <si>
    <t>nomber Voiture</t>
  </si>
  <si>
    <t>Chraibi</t>
  </si>
  <si>
    <t>Mohamed</t>
  </si>
  <si>
    <t>AB00005</t>
  </si>
  <si>
    <t>Peugeot</t>
  </si>
  <si>
    <t>Tahiri</t>
  </si>
  <si>
    <t>Khadija</t>
  </si>
  <si>
    <t>AB00006</t>
  </si>
  <si>
    <t>Dacia</t>
  </si>
  <si>
    <t>Bennani</t>
  </si>
  <si>
    <t>Omar</t>
  </si>
  <si>
    <t>AB00007</t>
  </si>
  <si>
    <t>Total des primes – Ville Ouarzazate</t>
  </si>
  <si>
    <t>El Fassi</t>
  </si>
  <si>
    <t>Imane</t>
  </si>
  <si>
    <t>AB00008</t>
  </si>
  <si>
    <t>Total des primes – Type Camion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</si>
  <si>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</si>
  <si>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</si>
  <si>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</si>
  <si>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</si>
  <si>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</si>
  <si>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</si>
  <si>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</si>
  <si>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</si>
  <si>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</si>
  <si>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nombre de client</t>
  </si>
  <si>
    <t>Raji</t>
  </si>
  <si>
    <t>Siham</t>
  </si>
  <si>
    <t>AB00012</t>
  </si>
  <si>
    <t>nom de client</t>
  </si>
  <si>
    <t>Ouahbi</t>
  </si>
  <si>
    <t>Anas</t>
  </si>
  <si>
    <t>AB00013</t>
  </si>
  <si>
    <t>Total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</si>
  <si>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</si>
  <si>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</si>
  <si>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</si>
  <si>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</si>
  <si>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</si>
  <si>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</si>
  <si>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</si>
  <si>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</si>
  <si>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</si>
  <si>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</si>
  <si>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</si>
  <si>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</si>
  <si>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</si>
  <si>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</si>
  <si>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</si>
  <si>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</si>
  <si>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</si>
  <si>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</si>
  <si>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</si>
  <si>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</si>
  <si>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</si>
  <si>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</si>
  <si>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</si>
  <si>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</si>
  <si>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</si>
  <si>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</si>
  <si>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</si>
  <si>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</si>
  <si>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</si>
  <si>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</si>
  <si>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</si>
  <si>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</si>
  <si>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</si>
  <si>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</si>
  <si>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</si>
  <si>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</si>
  <si>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</si>
  <si>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</si>
  <si>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</si>
  <si>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</si>
  <si>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</si>
  <si>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</si>
  <si>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</si>
  <si>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</si>
  <si>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</si>
  <si>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</si>
  <si>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</si>
  <si>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</si>
  <si>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</si>
  <si>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</si>
  <si>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</si>
  <si>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</si>
  <si>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</si>
  <si>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</si>
  <si>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</si>
  <si>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</si>
  <si>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</si>
  <si>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</si>
  <si>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</si>
  <si>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</si>
  <si>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</si>
  <si>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</si>
  <si>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</si>
  <si>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</si>
  <si>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</si>
  <si>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</si>
  <si>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</si>
  <si>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</si>
  <si>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</si>
  <si>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Ilham</t>
  </si>
  <si>
    <t>AB00038</t>
  </si>
  <si>
    <t>Benchekroun</t>
  </si>
  <si>
    <t>Adil</t>
  </si>
  <si>
    <t>AB00039</t>
  </si>
  <si>
    <t>Naima</t>
  </si>
  <si>
    <t>AB00040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</si>
</sst>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yyyy\-mm\-dd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2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EE6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78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0" xfId="0" applyNumberFormat="1"/>
    <xf numFmtId="0" fontId="0" fillId="3" borderId="0" xfId="0" applyFill="1"/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4" borderId="0" xfId="0" applyFill="1"/>
    <xf numFmtId="0" fontId="0" fillId="5" borderId="0" xfId="0" applyFill="1"/>
    <xf numFmtId="0" fontId="1" fillId="0" borderId="0" xfId="0" applyFo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3">
    <dxf>
      <font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border>
        <left style="thin">
          <color theme="4" tint="0.399975585192419"/>
        </left>
        <right style="thin">
          <color theme="4" tint="0.399975585192419"/>
        </right>
      </border>
    </dxf>
    <dxf>
      <border>
        <top style="thin">
          <color theme="4" tint="0.399975585192419"/>
        </top>
        <bottom style="thin">
          <color theme="4" tint="0.399975585192419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font>
        <color theme="1"/>
      </font>
    </dxf>
  </dxfs>
  <tableStyles count="1" defaultTableStyle="TableStyleMedium9" defaultPivotStyle="PivotStyleLight16">
    <tableStyle name="PivotStylePreset5_Accent1" table="0" count="13" xr9:uid="{74C2B007-2610-4D00-AE71-E269B9CBB027}">
      <tableStyleElement type="wholeTable" dxfId="12"/>
      <tableStyleElement type="headerRow" dxfId="11"/>
      <tableStyleElement type="totalRow" dxfId="10"/>
      <tableStyleElement type="firstColumn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00FEE68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[elma.xlsx]Sheet2!PivotTable3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CA" sz="18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Sheet2!$A$4:$A$8</c:f>
              <c:strCache>
                <c:ptCount val="4"/>
                <c:pt idx="0">
                  <c:v>Camion</c:v>
                </c:pt>
                <c:pt idx="1">
                  <c:v>Moto</c:v>
                </c:pt>
                <c:pt idx="2">
                  <c:v>Voiture</c:v>
                </c:pt>
                <c:pt idx="3">
                  <c:v>(vide)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152100</c:v>
                </c:pt>
                <c:pt idx="1">
                  <c:v>144270</c:v>
                </c:pt>
                <c:pt idx="2">
                  <c:v>95550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02690143"/>
        <c:axId val="102693471"/>
      </c:barChart>
      <c:catAx>
        <c:axId val="10269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CA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693471"/>
        <c:crosses val="autoZero"/>
        <c:auto val="1"/>
        <c:lblAlgn val="ctr"/>
        <c:lblOffset val="100"/>
        <c:noMultiLvlLbl val="0"/>
      </c:catAx>
      <c:valAx>
        <c:axId val="10269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fr-CA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CA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690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CA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18ecd3f-c909-4706-ba0d-1830cb3d24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CA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[elma.xlsx]Sheet2!PivotTable6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CA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105992779783393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CA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Sheet2!$D$4:$D$8</c:f>
              <c:strCache>
                <c:ptCount val="4"/>
                <c:pt idx="0">
                  <c:v>Tiers</c:v>
                </c:pt>
                <c:pt idx="1">
                  <c:v>Tiers+</c:v>
                </c:pt>
                <c:pt idx="2">
                  <c:v>Tous Risques</c:v>
                </c:pt>
                <c:pt idx="3">
                  <c:v>(vide)</c:v>
                </c:pt>
              </c:strCache>
            </c:strRef>
          </c:cat>
          <c:val>
            <c:numRef>
              <c:f>Sheet2!$E$4:$E$8</c:f>
              <c:numCache>
                <c:formatCode>General</c:formatCode>
                <c:ptCount val="4"/>
                <c:pt idx="0">
                  <c:v>13</c:v>
                </c:pt>
                <c:pt idx="1">
                  <c:v>14</c:v>
                </c:pt>
                <c:pt idx="2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4297f6-4380-4171-a820-59df6bbb28c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CA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[elma.xlsx]Sheet2!PivotTable9</c:name>
    <c:fmtId val="9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CA" sz="2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000">
                <a:latin typeface="Arial Black" panose="020B0A04020102020204" charset="0"/>
                <a:cs typeface="Arial Black" panose="020B0A04020102020204" charset="0"/>
              </a:rPr>
              <a:t>Total</a:t>
            </a:r>
            <a:endParaRPr sz="2000">
              <a:latin typeface="Arial Black" panose="020B0A04020102020204" charset="0"/>
              <a:cs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Sheet2!$G$10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152394775036284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CA"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Sheet2!$F$11:$F$16</c:f>
              <c:strCache>
                <c:ptCount val="5"/>
                <c:pt idx="0">
                  <c:v>Ait Brahim</c:v>
                </c:pt>
                <c:pt idx="1">
                  <c:v>El Hachimi</c:v>
                </c:pt>
                <c:pt idx="2">
                  <c:v>Karrouchi</c:v>
                </c:pt>
                <c:pt idx="3">
                  <c:v>Kouhen</c:v>
                </c:pt>
                <c:pt idx="4">
                  <c:v>Ouhmid</c:v>
                </c:pt>
              </c:strCache>
            </c:strRef>
          </c:cat>
          <c:val>
            <c:numRef>
              <c:f>Sheet2!$G$11:$G$16</c:f>
              <c:numCache>
                <c:formatCode>General</c:formatCode>
                <c:ptCount val="5"/>
                <c:pt idx="0">
                  <c:v>14400</c:v>
                </c:pt>
                <c:pt idx="1">
                  <c:v>14580</c:v>
                </c:pt>
                <c:pt idx="2">
                  <c:v>16020</c:v>
                </c:pt>
                <c:pt idx="3">
                  <c:v>13860</c:v>
                </c:pt>
                <c:pt idx="4">
                  <c:v>15300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f764e06-0fc0-4b3b-a877-ec7b507b66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CA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[elma.xlsx]Sheet2!PivotTable4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CA" sz="18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defRPr>
          </a:pPr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Sheet2!$J$2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fr-CA"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CA"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Sheet2!$I$3:$I$10</c:f>
              <c:strCache>
                <c:ptCount val="7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  <c:pt idx="6">
                  <c:v>(vide)</c:v>
                </c:pt>
              </c:strCache>
            </c:strRef>
          </c:cat>
          <c:val>
            <c:numRef>
              <c:f>Sheet2!$J$3:$J$10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6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0968243-6ad9-4636-8e56-2ec4925287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CA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[elma.xlsx]Sheet2!PivotTable7</c:name>
    <c:fmtId val="13"/>
  </c:pivotSource>
  <c:chart>
    <c:title>
      <c:layout>
        <c:manualLayout>
          <c:xMode val="edge"/>
          <c:yMode val="edge"/>
          <c:x val="0.419338459306543"/>
          <c:y val="0.0067009157918248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CA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CA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Sheet2!$J$14:$J$17</c:f>
              <c:strCache>
                <c:ptCount val="3"/>
                <c:pt idx="0">
                  <c:v>Premium</c:v>
                </c:pt>
                <c:pt idx="1">
                  <c:v>VIP</c:v>
                </c:pt>
                <c:pt idx="2">
                  <c:v>(vide)</c:v>
                </c:pt>
              </c:strCache>
            </c:strRef>
          </c:cat>
          <c:val>
            <c:numRef>
              <c:f>Sheet2!$K$14:$K$17</c:f>
              <c:numCache>
                <c:formatCode>General</c:formatCode>
                <c:ptCount val="3"/>
                <c:pt idx="0">
                  <c:v>1</c:v>
                </c:pt>
                <c:pt idx="1">
                  <c:v>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255652783"/>
        <c:axId val="255652367"/>
      </c:barChart>
      <c:catAx>
        <c:axId val="25565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CA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652367"/>
        <c:crosses val="autoZero"/>
        <c:auto val="1"/>
        <c:lblAlgn val="ctr"/>
        <c:lblOffset val="100"/>
        <c:noMultiLvlLbl val="0"/>
      </c:catAx>
      <c:valAx>
        <c:axId val="2556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fr-CA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CA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6527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CA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a3c1b4-e6a9-4426-a723-517b997931d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CA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[elma.xlsx]Sheet2!PivotTable8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CA" sz="168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Sheet2!$C$16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CA" sz="14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 Black" panose="020B0A04020102020204" charset="0"/>
                    <a:ea typeface="Arial Black" panose="020B0A04020102020204" charset="0"/>
                    <a:cs typeface="Arial Black" panose="020B0A04020102020204" charset="0"/>
                    <a:sym typeface="Arial Black" panose="020B0A04020102020204" charset="0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Sheet2!$B$17:$B$18</c:f>
              <c:strCache>
                <c:ptCount val="1"/>
                <c:pt idx="0">
                  <c:v>janv</c:v>
                </c:pt>
              </c:strCache>
            </c:strRef>
          </c:cat>
          <c:val>
            <c:numRef>
              <c:f>Sheet2!$C$17:$C$18</c:f>
              <c:numCache>
                <c:formatCode>General</c:formatCode>
                <c:ptCount val="1"/>
                <c:pt idx="0">
                  <c:v>391920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fr-CA"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CA"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2915e9-07ba-4acf-aefd-cb922cf55e2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CA" sz="1400">
          <a:latin typeface="Arial Black" panose="020B0A04020102020204" charset="0"/>
          <a:ea typeface="Arial Black" panose="020B0A04020102020204" charset="0"/>
          <a:cs typeface="Arial Black" panose="020B0A04020102020204" charset="0"/>
          <a:sym typeface="Arial Black" panose="020B0A040201020202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1">
      <cs:styleClr val="auto"/>
    </cs:fillRef>
    <cs:effectRef idx="0"/>
    <cs:fontRef idx="minor">
      <a:schemeClr val="tx1"/>
    </cs:fontRef>
    <cs:spPr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497205</xdr:colOff>
      <xdr:row>12</xdr:row>
      <xdr:rowOff>32385</xdr:rowOff>
    </xdr:from>
    <xdr:to>
      <xdr:col>9</xdr:col>
      <xdr:colOff>504419</xdr:colOff>
      <xdr:row>27</xdr:row>
      <xdr:rowOff>18348</xdr:rowOff>
    </xdr:to>
    <xdr:graphicFrame>
      <xdr:nvGraphicFramePr>
        <xdr:cNvPr id="8" name="Chart 7"/>
        <xdr:cNvGraphicFramePr/>
      </xdr:nvGraphicFramePr>
      <xdr:xfrm>
        <a:off x="3025140" y="2318385"/>
        <a:ext cx="4406900" cy="2842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439420</xdr:colOff>
      <xdr:row>12</xdr:row>
      <xdr:rowOff>15875</xdr:rowOff>
    </xdr:from>
    <xdr:to>
      <xdr:col>15</xdr:col>
      <xdr:colOff>160317</xdr:colOff>
      <xdr:row>27</xdr:row>
      <xdr:rowOff>1838</xdr:rowOff>
    </xdr:to>
    <xdr:graphicFrame>
      <xdr:nvGraphicFramePr>
        <xdr:cNvPr id="9" name="Chart 8"/>
        <xdr:cNvGraphicFramePr/>
      </xdr:nvGraphicFramePr>
      <xdr:xfrm>
        <a:off x="8458200" y="2301875"/>
        <a:ext cx="4387215" cy="2842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88900</xdr:colOff>
      <xdr:row>11</xdr:row>
      <xdr:rowOff>161925</xdr:rowOff>
    </xdr:from>
    <xdr:to>
      <xdr:col>22</xdr:col>
      <xdr:colOff>322995</xdr:colOff>
      <xdr:row>26</xdr:row>
      <xdr:rowOff>147888</xdr:rowOff>
    </xdr:to>
    <xdr:graphicFrame>
      <xdr:nvGraphicFramePr>
        <xdr:cNvPr id="10" name="Chart 9"/>
        <xdr:cNvGraphicFramePr/>
      </xdr:nvGraphicFramePr>
      <xdr:xfrm>
        <a:off x="13707745" y="2257425"/>
        <a:ext cx="4367530" cy="2842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499110</xdr:colOff>
      <xdr:row>30</xdr:row>
      <xdr:rowOff>141605</xdr:rowOff>
    </xdr:from>
    <xdr:to>
      <xdr:col>9</xdr:col>
      <xdr:colOff>540667</xdr:colOff>
      <xdr:row>45</xdr:row>
      <xdr:rowOff>127568</xdr:rowOff>
    </xdr:to>
    <xdr:graphicFrame>
      <xdr:nvGraphicFramePr>
        <xdr:cNvPr id="11" name="Chart 10"/>
        <xdr:cNvGraphicFramePr/>
      </xdr:nvGraphicFramePr>
      <xdr:xfrm>
        <a:off x="3027045" y="5856605"/>
        <a:ext cx="4441190" cy="2842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436245</xdr:colOff>
      <xdr:row>30</xdr:row>
      <xdr:rowOff>76835</xdr:rowOff>
    </xdr:from>
    <xdr:to>
      <xdr:col>15</xdr:col>
      <xdr:colOff>157142</xdr:colOff>
      <xdr:row>45</xdr:row>
      <xdr:rowOff>62797</xdr:rowOff>
    </xdr:to>
    <xdr:graphicFrame>
      <xdr:nvGraphicFramePr>
        <xdr:cNvPr id="12" name="Chart 11"/>
        <xdr:cNvGraphicFramePr/>
      </xdr:nvGraphicFramePr>
      <xdr:xfrm>
        <a:off x="8455025" y="5791835"/>
        <a:ext cx="4387215" cy="2842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111125</xdr:colOff>
      <xdr:row>31</xdr:row>
      <xdr:rowOff>6350</xdr:rowOff>
    </xdr:from>
    <xdr:to>
      <xdr:col>22</xdr:col>
      <xdr:colOff>348852</xdr:colOff>
      <xdr:row>45</xdr:row>
      <xdr:rowOff>182813</xdr:rowOff>
    </xdr:to>
    <xdr:graphicFrame>
      <xdr:nvGraphicFramePr>
        <xdr:cNvPr id="13" name="Chart 12"/>
        <xdr:cNvGraphicFramePr/>
      </xdr:nvGraphicFramePr>
      <xdr:xfrm>
        <a:off x="13729970" y="5911850"/>
        <a:ext cx="4371340" cy="2842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153670</xdr:colOff>
      <xdr:row>1</xdr:row>
      <xdr:rowOff>2540</xdr:rowOff>
    </xdr:from>
    <xdr:to>
      <xdr:col>3</xdr:col>
      <xdr:colOff>487045</xdr:colOff>
      <xdr:row>9</xdr:row>
      <xdr:rowOff>139700</xdr:rowOff>
    </xdr:to>
    <xdr:pic>
      <xdr:nvPicPr>
        <xdr:cNvPr id="3" name="Picture 2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670" y="193040"/>
          <a:ext cx="2261235" cy="1661160"/>
        </a:xfrm>
        <a:prstGeom prst="rect">
          <a:avLst/>
        </a:prstGeom>
      </xdr:spPr>
    </xdr:pic>
    <xdr:clientData/>
  </xdr:twoCellAnchor>
  <xdr:twoCellAnchor>
    <xdr:from>
      <xdr:col>5</xdr:col>
      <xdr:colOff>733425</xdr:colOff>
      <xdr:row>1</xdr:row>
      <xdr:rowOff>104775</xdr:rowOff>
    </xdr:from>
    <xdr:to>
      <xdr:col>20</xdr:col>
      <xdr:colOff>24130</xdr:colOff>
      <xdr:row>8</xdr:row>
      <xdr:rowOff>104140</xdr:rowOff>
    </xdr:to>
    <xdr:sp>
      <xdr:nvSpPr>
        <xdr:cNvPr id="2" name="Rectangle à coins arrondi 1"/>
        <xdr:cNvSpPr/>
      </xdr:nvSpPr>
      <xdr:spPr>
        <a:xfrm>
          <a:off x="3861435" y="295275"/>
          <a:ext cx="12715240" cy="1332865"/>
        </a:xfrm>
        <a:prstGeom prst="roundRect">
          <a:avLst/>
        </a:prstGeom>
        <a:solidFill>
          <a:schemeClr val="accent6">
            <a:lumMod val="75000"/>
          </a:schemeClr>
        </a:solidFill>
        <a:ln>
          <a:solidFill>
            <a:schemeClr val="bg1">
              <a:lumMod val="95000"/>
            </a:schemeClr>
          </a:solidFill>
        </a:ln>
      </xdr:spPr>
      <xdr:style>
        <a:lnRef idx="0">
          <a:srgbClr val="FFFFFF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fr-FR" altLang="fr-CA" sz="3200" b="1">
              <a:latin typeface="Arial Black" panose="020B0A04020102020204" charset="0"/>
              <a:cs typeface="Arial Black" panose="020B0A04020102020204" charset="0"/>
            </a:rPr>
            <a:t>EXAMEN DE FIN MODULE (CULTURE ET TECHNIQUE AVANCéE DU NUMéRIQUE</a:t>
          </a:r>
          <a:endParaRPr lang="fr-FR" altLang="fr-CA" sz="3200" b="1"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021.4461700231" refreshedBy="MOHAMED ELMAATOUQUI" recordCount="46">
  <cacheSource type="worksheet">
    <worksheetSource ref="A1:R1048576" sheet="Assurances_Auto"/>
  </cacheSource>
  <cacheFields count="18">
    <cacheField name="ID_Client" numFmtId="0"/>
    <cacheField name="Nom" numFmtId="0">
      <sharedItems containsBlank="1" count="41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  <m/>
      </sharedItems>
    </cacheField>
    <cacheField name="Prénom" numFmtId="0"/>
    <cacheField name="CIN" numFmtId="0"/>
    <cacheField name="Ville" numFmtId="0">
      <sharedItems containsBlank="1" count="7">
        <s v="Ouarzazate"/>
        <s v="Marrakech"/>
        <s v="Rabat"/>
        <s v="Casablanca"/>
        <s v="Agadir"/>
        <s v="Fes"/>
        <m/>
      </sharedItems>
    </cacheField>
    <cacheField name="Type_Vehicule" numFmtId="0">
      <sharedItems containsBlank="1" count="4">
        <s v="Moto"/>
        <s v="Camion"/>
        <s v="Voiture"/>
        <m/>
      </sharedItems>
    </cacheField>
    <cacheField name="Marque" numFmtId="0"/>
    <cacheField name="Année_Vehicule" numFmtId="0"/>
    <cacheField name="Valeur_Vehicule" numFmtId="0"/>
    <cacheField name="Type_Assurance" numFmtId="0">
      <sharedItems containsBlank="1" count="4">
        <s v="Tiers+"/>
        <s v="Tous Risques"/>
        <s v="Tiers"/>
        <m/>
      </sharedItems>
    </cacheField>
    <cacheField name="Date_Souscription" numFmtId="0">
      <sharedItems containsString="0" containsBlank="1" containsNonDate="0" containsDate="1" minDate="2025-01-01T00:00:00" maxDate="2025-01-28T00:00:00" count="29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  <m/>
      </sharedItems>
      <fieldGroup base="10">
        <rangePr groupBy="months" startDate="2025-01-01T00:00:00" endDate="2025-01-29T00:00:00" groupInterval="1"/>
        <groupItems count="14">
          <s v="(blank)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/01/2025"/>
        </groupItems>
      </fieldGroup>
    </cacheField>
    <cacheField name="Durée" numFmtId="0"/>
    <cacheField name="Prime_Base" numFmtId="0"/>
    <cacheField name="Taux_Risque" numFmtId="0"/>
    <cacheField name="Montant_Risque" numFmtId="0"/>
    <cacheField name="Prime_Totale" numFmtId="0"/>
    <cacheField name="Statut_Client" numFmtId="0">
      <sharedItems containsBlank="1" count="3">
        <s v="VIP"/>
        <s v="Premium"/>
        <m/>
      </sharedItems>
    </cacheField>
    <cacheField name="classemen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n v="1"/>
    <x v="0"/>
    <s v="Youssef"/>
    <s v="AB00001"/>
    <x v="0"/>
    <x v="0"/>
    <s v="Renault"/>
    <n v="2011"/>
    <n v="93000"/>
    <x v="0"/>
    <x v="0"/>
    <n v="12"/>
    <n v="1560"/>
    <n v="0.05"/>
    <n v="4650"/>
    <n v="6210"/>
    <x v="0"/>
    <n v="36"/>
  </r>
  <r>
    <n v="2"/>
    <x v="1"/>
    <s v="Fatima"/>
    <s v="AB00002"/>
    <x v="0"/>
    <x v="1"/>
    <s v="Toyota"/>
    <n v="2012"/>
    <n v="96000"/>
    <x v="1"/>
    <x v="1"/>
    <n v="12"/>
    <n v="1620"/>
    <n v="0.06"/>
    <n v="5760"/>
    <n v="7380"/>
    <x v="0"/>
    <n v="31"/>
  </r>
  <r>
    <n v="3"/>
    <x v="2"/>
    <s v="Ahmed"/>
    <s v="AB00003"/>
    <x v="1"/>
    <x v="2"/>
    <s v="Hyundai"/>
    <n v="2013"/>
    <n v="99000"/>
    <x v="2"/>
    <x v="2"/>
    <n v="12"/>
    <n v="1680"/>
    <n v="0.03"/>
    <n v="2970"/>
    <n v="4650"/>
    <x v="1"/>
    <n v="40"/>
  </r>
  <r>
    <n v="4"/>
    <x v="3"/>
    <s v="Salma"/>
    <s v="AB00004"/>
    <x v="2"/>
    <x v="0"/>
    <s v="Ford"/>
    <n v="2014"/>
    <n v="102000"/>
    <x v="0"/>
    <x v="3"/>
    <n v="12"/>
    <n v="1740"/>
    <n v="0.05"/>
    <n v="5100"/>
    <n v="6840"/>
    <x v="0"/>
    <n v="34"/>
  </r>
  <r>
    <n v="5"/>
    <x v="4"/>
    <s v="Mohamed"/>
    <s v="AB00005"/>
    <x v="3"/>
    <x v="1"/>
    <s v="Peugeot"/>
    <n v="2015"/>
    <n v="105000"/>
    <x v="1"/>
    <x v="4"/>
    <n v="12"/>
    <n v="1800"/>
    <n v="0.06"/>
    <n v="6300"/>
    <n v="8100"/>
    <x v="0"/>
    <n v="27"/>
  </r>
  <r>
    <n v="6"/>
    <x v="5"/>
    <s v="Khadija"/>
    <s v="AB00006"/>
    <x v="4"/>
    <x v="2"/>
    <s v="Dacia"/>
    <n v="2016"/>
    <n v="108000"/>
    <x v="2"/>
    <x v="5"/>
    <n v="12"/>
    <n v="1860"/>
    <n v="0.03"/>
    <n v="3240"/>
    <n v="5100"/>
    <x v="0"/>
    <n v="39"/>
  </r>
  <r>
    <n v="7"/>
    <x v="6"/>
    <s v="Omar"/>
    <s v="AB00007"/>
    <x v="1"/>
    <x v="0"/>
    <s v="Renault"/>
    <n v="2017"/>
    <n v="111000"/>
    <x v="0"/>
    <x v="6"/>
    <n v="12"/>
    <n v="1920"/>
    <n v="0.05"/>
    <n v="5550"/>
    <n v="7470"/>
    <x v="0"/>
    <n v="30"/>
  </r>
  <r>
    <n v="8"/>
    <x v="7"/>
    <s v="Imane"/>
    <s v="AB00008"/>
    <x v="5"/>
    <x v="1"/>
    <s v="Toyota"/>
    <n v="2018"/>
    <n v="114000"/>
    <x v="1"/>
    <x v="7"/>
    <n v="12"/>
    <n v="1980"/>
    <n v="0.06"/>
    <n v="6840"/>
    <n v="8820"/>
    <x v="0"/>
    <n v="23"/>
  </r>
  <r>
    <n v="9"/>
    <x v="8"/>
    <s v="Hassan"/>
    <s v="AB00009"/>
    <x v="2"/>
    <x v="2"/>
    <s v="Hyundai"/>
    <n v="2019"/>
    <n v="117000"/>
    <x v="2"/>
    <x v="8"/>
    <n v="12"/>
    <n v="2040"/>
    <n v="0.03"/>
    <n v="3510"/>
    <n v="5550"/>
    <x v="0"/>
    <n v="38"/>
  </r>
  <r>
    <n v="10"/>
    <x v="9"/>
    <s v="Nadia"/>
    <s v="AB00010"/>
    <x v="4"/>
    <x v="0"/>
    <s v="Ford"/>
    <n v="2020"/>
    <n v="120000"/>
    <x v="0"/>
    <x v="9"/>
    <n v="12"/>
    <n v="2100"/>
    <n v="0.05"/>
    <n v="6000"/>
    <n v="8100"/>
    <x v="0"/>
    <n v="27"/>
  </r>
  <r>
    <n v="11"/>
    <x v="10"/>
    <s v="Abdelilah"/>
    <s v="AB00011"/>
    <x v="3"/>
    <x v="1"/>
    <s v="Peugeot"/>
    <n v="2021"/>
    <n v="123000"/>
    <x v="1"/>
    <x v="10"/>
    <n v="12"/>
    <n v="2160"/>
    <n v="0.06"/>
    <n v="7380"/>
    <n v="9540"/>
    <x v="0"/>
    <n v="20"/>
  </r>
  <r>
    <n v="12"/>
    <x v="11"/>
    <s v="Siham"/>
    <s v="AB00012"/>
    <x v="1"/>
    <x v="2"/>
    <s v="Dacia"/>
    <n v="2022"/>
    <n v="126000"/>
    <x v="2"/>
    <x v="11"/>
    <n v="12"/>
    <n v="2220"/>
    <n v="0.03"/>
    <n v="3780"/>
    <n v="6000"/>
    <x v="0"/>
    <n v="37"/>
  </r>
  <r>
    <n v="13"/>
    <x v="12"/>
    <s v="Anas"/>
    <s v="AB00013"/>
    <x v="0"/>
    <x v="0"/>
    <s v="Renault"/>
    <n v="2023"/>
    <n v="129000"/>
    <x v="0"/>
    <x v="12"/>
    <n v="12"/>
    <n v="2280"/>
    <n v="0.05"/>
    <n v="6450"/>
    <n v="8730"/>
    <x v="0"/>
    <n v="24"/>
  </r>
  <r>
    <n v="14"/>
    <x v="13"/>
    <s v="Soukaina"/>
    <s v="AB00014"/>
    <x v="4"/>
    <x v="1"/>
    <s v="Toyota"/>
    <n v="2010"/>
    <n v="132000"/>
    <x v="1"/>
    <x v="13"/>
    <n v="12"/>
    <n v="2340"/>
    <n v="0.06"/>
    <n v="7920"/>
    <n v="10260"/>
    <x v="0"/>
    <n v="16"/>
  </r>
  <r>
    <n v="15"/>
    <x v="14"/>
    <s v="Rachid"/>
    <s v="AB00015"/>
    <x v="3"/>
    <x v="2"/>
    <s v="Hyundai"/>
    <n v="2011"/>
    <n v="135000"/>
    <x v="2"/>
    <x v="14"/>
    <n v="12"/>
    <n v="2400"/>
    <n v="0.03"/>
    <n v="4050"/>
    <n v="6450"/>
    <x v="0"/>
    <n v="35"/>
  </r>
  <r>
    <n v="16"/>
    <x v="15"/>
    <s v="Sara"/>
    <s v="AB00016"/>
    <x v="2"/>
    <x v="0"/>
    <s v="Ford"/>
    <n v="2012"/>
    <n v="138000"/>
    <x v="0"/>
    <x v="15"/>
    <n v="12"/>
    <n v="2460"/>
    <n v="0.05"/>
    <n v="6900"/>
    <n v="9360"/>
    <x v="0"/>
    <n v="21"/>
  </r>
  <r>
    <n v="17"/>
    <x v="16"/>
    <s v="Yassine"/>
    <s v="AB00017"/>
    <x v="1"/>
    <x v="1"/>
    <s v="Peugeot"/>
    <n v="2013"/>
    <n v="141000"/>
    <x v="1"/>
    <x v="16"/>
    <n v="12"/>
    <n v="2520"/>
    <n v="0.06"/>
    <n v="8460"/>
    <n v="10980"/>
    <x v="0"/>
    <n v="14"/>
  </r>
  <r>
    <n v="18"/>
    <x v="17"/>
    <s v="Amina"/>
    <s v="AB00018"/>
    <x v="0"/>
    <x v="2"/>
    <s v="Dacia"/>
    <n v="2014"/>
    <n v="144000"/>
    <x v="2"/>
    <x v="17"/>
    <n v="12"/>
    <n v="2580"/>
    <n v="0.03"/>
    <n v="4320"/>
    <n v="6900"/>
    <x v="0"/>
    <n v="33"/>
  </r>
  <r>
    <n v="19"/>
    <x v="18"/>
    <s v="Karim"/>
    <s v="AB00019"/>
    <x v="4"/>
    <x v="0"/>
    <s v="Renault"/>
    <n v="2015"/>
    <n v="147000"/>
    <x v="0"/>
    <x v="18"/>
    <n v="12"/>
    <n v="2640"/>
    <n v="0.05"/>
    <n v="7350"/>
    <n v="9990"/>
    <x v="0"/>
    <n v="18"/>
  </r>
  <r>
    <n v="20"/>
    <x v="19"/>
    <s v="Latifa"/>
    <s v="AB00020"/>
    <x v="3"/>
    <x v="1"/>
    <s v="Toyota"/>
    <n v="2016"/>
    <n v="150000"/>
    <x v="1"/>
    <x v="19"/>
    <n v="12"/>
    <n v="2700"/>
    <n v="0.06"/>
    <n v="9000"/>
    <n v="11700"/>
    <x v="0"/>
    <n v="12"/>
  </r>
  <r>
    <n v="21"/>
    <x v="20"/>
    <s v="Ayoub"/>
    <s v="AB00021"/>
    <x v="2"/>
    <x v="2"/>
    <s v="Hyundai"/>
    <n v="2017"/>
    <n v="153000"/>
    <x v="2"/>
    <x v="20"/>
    <n v="12"/>
    <n v="2760"/>
    <n v="0.03"/>
    <n v="4590"/>
    <n v="7350"/>
    <x v="0"/>
    <n v="32"/>
  </r>
  <r>
    <n v="22"/>
    <x v="21"/>
    <s v="Hanane"/>
    <s v="AB00022"/>
    <x v="1"/>
    <x v="0"/>
    <s v="Ford"/>
    <n v="2018"/>
    <n v="156000"/>
    <x v="0"/>
    <x v="21"/>
    <n v="12"/>
    <n v="2820"/>
    <n v="0.05"/>
    <n v="7800"/>
    <n v="10620"/>
    <x v="0"/>
    <n v="15"/>
  </r>
  <r>
    <n v="23"/>
    <x v="22"/>
    <s v="Mehdi"/>
    <s v="AB00023"/>
    <x v="4"/>
    <x v="1"/>
    <s v="Peugeot"/>
    <n v="2019"/>
    <n v="159000"/>
    <x v="1"/>
    <x v="22"/>
    <n v="12"/>
    <n v="2880"/>
    <n v="0.06"/>
    <n v="9540"/>
    <n v="12420"/>
    <x v="0"/>
    <n v="10"/>
  </r>
  <r>
    <n v="24"/>
    <x v="23"/>
    <s v="Samir"/>
    <s v="AB00024"/>
    <x v="2"/>
    <x v="2"/>
    <s v="Dacia"/>
    <n v="2020"/>
    <n v="162000"/>
    <x v="2"/>
    <x v="23"/>
    <n v="12"/>
    <n v="2940"/>
    <n v="0.03"/>
    <n v="4860"/>
    <n v="7800"/>
    <x v="0"/>
    <n v="29"/>
  </r>
  <r>
    <n v="25"/>
    <x v="24"/>
    <s v="Meriem"/>
    <s v="AB00025"/>
    <x v="3"/>
    <x v="0"/>
    <s v="Renault"/>
    <n v="2021"/>
    <n v="165000"/>
    <x v="0"/>
    <x v="24"/>
    <n v="12"/>
    <n v="3000"/>
    <n v="0.05"/>
    <n v="8250"/>
    <n v="11250"/>
    <x v="0"/>
    <n v="13"/>
  </r>
  <r>
    <n v="26"/>
    <x v="25"/>
    <s v="Hamza"/>
    <s v="AB00026"/>
    <x v="0"/>
    <x v="1"/>
    <s v="Toyota"/>
    <n v="2022"/>
    <n v="168000"/>
    <x v="1"/>
    <x v="25"/>
    <n v="12"/>
    <n v="3060"/>
    <n v="0.06"/>
    <n v="10080"/>
    <n v="13140"/>
    <x v="0"/>
    <n v="7"/>
  </r>
  <r>
    <n v="27"/>
    <x v="26"/>
    <s v="Nour"/>
    <s v="AB00027"/>
    <x v="4"/>
    <x v="2"/>
    <s v="Hyundai"/>
    <n v="2023"/>
    <n v="171000"/>
    <x v="2"/>
    <x v="26"/>
    <n v="12"/>
    <n v="3120"/>
    <n v="0.03"/>
    <n v="5130"/>
    <n v="8250"/>
    <x v="0"/>
    <n v="26"/>
  </r>
  <r>
    <n v="28"/>
    <x v="27"/>
    <s v="Abdelkader"/>
    <s v="AB00028"/>
    <x v="1"/>
    <x v="0"/>
    <s v="Ford"/>
    <n v="2010"/>
    <n v="174000"/>
    <x v="0"/>
    <x v="27"/>
    <n v="12"/>
    <n v="3180"/>
    <n v="0.05"/>
    <n v="8700"/>
    <n v="11880"/>
    <x v="0"/>
    <n v="11"/>
  </r>
  <r>
    <n v="29"/>
    <x v="28"/>
    <s v="Lina"/>
    <s v="AB00029"/>
    <x v="2"/>
    <x v="1"/>
    <s v="Peugeot"/>
    <n v="2011"/>
    <n v="177000"/>
    <x v="1"/>
    <x v="0"/>
    <n v="12"/>
    <n v="3240"/>
    <n v="0.06"/>
    <n v="10620"/>
    <n v="13860"/>
    <x v="0"/>
    <n v="5"/>
  </r>
  <r>
    <n v="30"/>
    <x v="29"/>
    <s v="Younes"/>
    <s v="AB00030"/>
    <x v="3"/>
    <x v="2"/>
    <s v="Dacia"/>
    <n v="2012"/>
    <n v="180000"/>
    <x v="2"/>
    <x v="1"/>
    <n v="12"/>
    <n v="3300"/>
    <n v="0.03"/>
    <n v="5400"/>
    <n v="8700"/>
    <x v="0"/>
    <n v="25"/>
  </r>
  <r>
    <n v="31"/>
    <x v="30"/>
    <s v="Ikram"/>
    <s v="AB00031"/>
    <x v="4"/>
    <x v="0"/>
    <s v="Renault"/>
    <n v="2013"/>
    <n v="183000"/>
    <x v="0"/>
    <x v="2"/>
    <n v="12"/>
    <n v="3360"/>
    <n v="0.05"/>
    <n v="9150"/>
    <n v="12510"/>
    <x v="0"/>
    <n v="9"/>
  </r>
  <r>
    <n v="32"/>
    <x v="31"/>
    <s v="Said"/>
    <s v="AB00032"/>
    <x v="1"/>
    <x v="1"/>
    <s v="Toyota"/>
    <n v="2014"/>
    <n v="186000"/>
    <x v="1"/>
    <x v="3"/>
    <n v="12"/>
    <n v="3420"/>
    <n v="0.06"/>
    <n v="11160"/>
    <n v="14580"/>
    <x v="0"/>
    <n v="3"/>
  </r>
  <r>
    <n v="33"/>
    <x v="32"/>
    <s v="Rania"/>
    <s v="AB00033"/>
    <x v="2"/>
    <x v="2"/>
    <s v="Hyundai"/>
    <n v="2015"/>
    <n v="189000"/>
    <x v="2"/>
    <x v="4"/>
    <n v="12"/>
    <n v="3480"/>
    <n v="0.03"/>
    <n v="5670"/>
    <n v="9150"/>
    <x v="0"/>
    <n v="22"/>
  </r>
  <r>
    <n v="34"/>
    <x v="33"/>
    <s v="Yassir"/>
    <s v="AB00034"/>
    <x v="3"/>
    <x v="0"/>
    <s v="Ford"/>
    <n v="2016"/>
    <n v="192000"/>
    <x v="0"/>
    <x v="5"/>
    <n v="12"/>
    <n v="3540"/>
    <n v="0.05"/>
    <n v="9600"/>
    <n v="13140"/>
    <x v="0"/>
    <n v="7"/>
  </r>
  <r>
    <n v="35"/>
    <x v="34"/>
    <s v="Malika"/>
    <s v="AB00035"/>
    <x v="0"/>
    <x v="1"/>
    <s v="Peugeot"/>
    <n v="2017"/>
    <n v="195000"/>
    <x v="1"/>
    <x v="6"/>
    <n v="12"/>
    <n v="3600"/>
    <n v="0.06"/>
    <n v="11700"/>
    <n v="15300"/>
    <x v="0"/>
    <n v="2"/>
  </r>
  <r>
    <n v="36"/>
    <x v="35"/>
    <s v="Reda"/>
    <s v="AB00036"/>
    <x v="4"/>
    <x v="2"/>
    <s v="Dacia"/>
    <n v="2018"/>
    <n v="198000"/>
    <x v="2"/>
    <x v="7"/>
    <n v="12"/>
    <n v="3660"/>
    <n v="0.03"/>
    <n v="5940"/>
    <n v="9600"/>
    <x v="0"/>
    <n v="19"/>
  </r>
  <r>
    <n v="37"/>
    <x v="36"/>
    <s v="Jamal"/>
    <s v="AB00037"/>
    <x v="1"/>
    <x v="0"/>
    <s v="Renault"/>
    <n v="2019"/>
    <n v="201000"/>
    <x v="0"/>
    <x v="8"/>
    <n v="12"/>
    <n v="3720"/>
    <n v="0.05"/>
    <n v="10050"/>
    <n v="13770"/>
    <x v="0"/>
    <n v="6"/>
  </r>
  <r>
    <n v="38"/>
    <x v="37"/>
    <s v="Ilham"/>
    <s v="AB00038"/>
    <x v="2"/>
    <x v="1"/>
    <s v="Toyota"/>
    <n v="2020"/>
    <n v="204000"/>
    <x v="1"/>
    <x v="9"/>
    <n v="12"/>
    <n v="3780"/>
    <n v="0.06"/>
    <n v="12240"/>
    <n v="16020"/>
    <x v="0"/>
    <n v="1"/>
  </r>
  <r>
    <n v="39"/>
    <x v="38"/>
    <s v="Adil"/>
    <s v="AB00039"/>
    <x v="3"/>
    <x v="2"/>
    <s v="Hyundai"/>
    <n v="2021"/>
    <n v="207000"/>
    <x v="2"/>
    <x v="10"/>
    <n v="12"/>
    <n v="3840"/>
    <n v="0.03"/>
    <n v="6210"/>
    <n v="10050"/>
    <x v="0"/>
    <n v="17"/>
  </r>
  <r>
    <n v="40"/>
    <x v="39"/>
    <s v="Naima"/>
    <s v="AB00040"/>
    <x v="0"/>
    <x v="0"/>
    <s v="Ford"/>
    <n v="2022"/>
    <n v="210000"/>
    <x v="0"/>
    <x v="11"/>
    <n v="12"/>
    <n v="3900"/>
    <n v="0.05"/>
    <n v="10500"/>
    <n v="14400"/>
    <x v="0"/>
    <n v="4"/>
  </r>
  <r>
    <m/>
    <x v="40"/>
    <m/>
    <m/>
    <x v="6"/>
    <x v="3"/>
    <m/>
    <m/>
    <m/>
    <x v="3"/>
    <x v="28"/>
    <m/>
    <m/>
    <m/>
    <m/>
    <m/>
    <x v="2"/>
    <m/>
  </r>
  <r>
    <m/>
    <x v="40"/>
    <m/>
    <m/>
    <x v="6"/>
    <x v="3"/>
    <m/>
    <m/>
    <m/>
    <x v="3"/>
    <x v="28"/>
    <m/>
    <m/>
    <m/>
    <m/>
    <m/>
    <x v="2"/>
    <m/>
  </r>
  <r>
    <m/>
    <x v="40"/>
    <m/>
    <m/>
    <x v="6"/>
    <x v="3"/>
    <m/>
    <m/>
    <m/>
    <x v="3"/>
    <x v="28"/>
    <m/>
    <m/>
    <m/>
    <m/>
    <m/>
    <x v="2"/>
    <m/>
  </r>
  <r>
    <m/>
    <x v="40"/>
    <m/>
    <m/>
    <x v="6"/>
    <x v="3"/>
    <m/>
    <m/>
    <m/>
    <x v="3"/>
    <x v="28"/>
    <m/>
    <m/>
    <m/>
    <m/>
    <m/>
    <x v="2"/>
    <m/>
  </r>
  <r>
    <m/>
    <x v="40"/>
    <m/>
    <m/>
    <x v="6"/>
    <x v="3"/>
    <m/>
    <m/>
    <m/>
    <x v="3"/>
    <x v="28"/>
    <m/>
    <m/>
    <m/>
    <m/>
    <m/>
    <x v="2"/>
    <m/>
  </r>
  <r>
    <m/>
    <x v="40"/>
    <m/>
    <m/>
    <x v="6"/>
    <x v="3"/>
    <m/>
    <m/>
    <m/>
    <x v="3"/>
    <x v="28"/>
    <m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4">
  <location ref="J13:K17" firstHeaderRow="1" firstDataRow="1" firstDataCol="1"/>
  <pivotFields count="18">
    <pivotField showAll="0"/>
    <pivotField showAll="0"/>
    <pivotField showAll="0"/>
    <pivotField dataField="1" showAll="0"/>
    <pivotField showAll="0">
      <items count="8">
        <item x="4"/>
        <item x="3"/>
        <item x="5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IN" fld="3" subtotal="count" baseField="0" baseItem="0"/>
  </dataFields>
  <pivotTableStyleInfo name="PivotStylePreset5_Accent1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7">
  <location ref="D3:E8" firstHeaderRow="1" firstDataRow="1" firstDataCol="1"/>
  <pivotFields count="18">
    <pivotField showAll="0"/>
    <pivotField showAll="0"/>
    <pivotField showAll="0"/>
    <pivotField showAll="0"/>
    <pivotField showAll="0">
      <items count="8">
        <item x="4"/>
        <item x="3"/>
        <item x="5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ime_Totale" fld="15" subtotal="count" baseField="0" baseItem="0"/>
  </dataFields>
  <pivotTableStyleInfo name="PivotStylePreset5_Accent1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7">
  <location ref="I2:J10" firstHeaderRow="1" firstDataRow="1" firstDataCol="1"/>
  <pivotFields count="18">
    <pivotField dataField="1" showAll="0"/>
    <pivotField showAll="0"/>
    <pivotField showAll="0"/>
    <pivotField showAll="0"/>
    <pivotField axis="axisRow" showAll="0">
      <items count="8">
        <item x="4"/>
        <item x="3"/>
        <item x="5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D_Client" fld="0" subtotal="count" baseField="4" baseItem="0"/>
  </dataFields>
  <pivotTableStyleInfo name="PivotStylePreset5_Accent1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7">
  <location ref="A3:B8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me_Totale" fld="15" baseField="5" baseItem="0"/>
  </dataFields>
  <pivotTableStyleInfo name="PivotStylePreset5_Accent1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0">
  <location ref="F10:G16" firstHeaderRow="1" firstDataRow="1" firstDataCol="1"/>
  <pivotFields count="18">
    <pivotField showAll="0"/>
    <pivotField axis="axisRow" measureFilter="1" showAll="0">
      <items count="42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x="40"/>
        <item t="default"/>
      </items>
    </pivotField>
    <pivotField showAll="0"/>
    <pivotField showAll="0"/>
    <pivotField showAll="0">
      <items count="8">
        <item x="4"/>
        <item x="3"/>
        <item x="5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</pivotFields>
  <rowFields count="1">
    <field x="1"/>
  </rowFields>
  <rowItems count="6">
    <i>
      <x/>
    </i>
    <i>
      <x v="16"/>
    </i>
    <i>
      <x v="26"/>
    </i>
    <i>
      <x v="27"/>
    </i>
    <i>
      <x v="31"/>
    </i>
    <i t="grand">
      <x/>
    </i>
  </rowItems>
  <colItems count="1">
    <i/>
  </colItems>
  <dataFields count="1">
    <dataField name="Sum of Prime_Totale" fld="15" baseField="1" baseItem="0"/>
  </dataFields>
  <pivotTableStyleInfo name="PivotStylePreset5_Accent1" showRowHeaders="1" showColHeaders="1" showRowStripe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0">
  <location ref="B16:C18" firstHeaderRow="1" firstDataRow="1" firstDataCol="1"/>
  <pivotFields count="18">
    <pivotField showAll="0"/>
    <pivotField showAll="0"/>
    <pivotField showAll="0"/>
    <pivotField showAll="0"/>
    <pivotField showAll="0">
      <items count="8">
        <item x="4"/>
        <item x="3"/>
        <item x="5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 of Prime_Totale" fld="15" baseField="4" baseItem="0"/>
  </dataFields>
  <pivotTableStyleInfo name="PivotStylePreset5_Accent1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6"/>
  <sheetViews>
    <sheetView tabSelected="1" zoomScale="50" zoomScaleNormal="50" workbookViewId="0">
      <selection activeCell="D17" sqref="D17"/>
    </sheetView>
  </sheetViews>
  <sheetFormatPr defaultColWidth="9" defaultRowHeight="15"/>
  <cols>
    <col min="1" max="1" width="10.4571428571429" customWidth="1"/>
    <col min="3" max="3" width="9.45714285714286" customWidth="1"/>
    <col min="6" max="6" width="14.9047619047619" customWidth="1"/>
    <col min="7" max="7" width="9.45714285714286" customWidth="1"/>
    <col min="8" max="8" width="16.2666666666667" customWidth="1"/>
    <col min="9" max="10" width="16.3619047619048" customWidth="1"/>
    <col min="11" max="11" width="18.1809523809524" customWidth="1"/>
    <col min="13" max="13" width="12.6285714285714" customWidth="1"/>
    <col min="14" max="14" width="13.3619047619048" customWidth="1"/>
    <col min="15" max="15" width="16.8190476190476" customWidth="1"/>
    <col min="16" max="16" width="14" customWidth="1"/>
    <col min="17" max="17" width="13.8190476190476" customWidth="1"/>
    <col min="18" max="18" width="12.1809523809524" customWidth="1"/>
  </cols>
  <sheetData>
    <row r="1" spans="1:27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11"/>
      <c r="B4" s="11"/>
      <c r="C4" s="11"/>
      <c r="D4" s="11"/>
      <c r="E4" s="11"/>
      <c r="F4" s="11"/>
      <c r="G4" s="11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1"/>
      <c r="V4" s="11"/>
      <c r="W4" s="11"/>
      <c r="X4" s="11"/>
      <c r="Y4" s="11"/>
      <c r="Z4" s="11"/>
      <c r="AA4" s="11"/>
    </row>
    <row r="5" spans="1:27">
      <c r="A5" s="11"/>
      <c r="B5" s="11"/>
      <c r="C5" s="11"/>
      <c r="D5" s="11"/>
      <c r="E5" s="11"/>
      <c r="F5" s="11"/>
      <c r="G5" s="11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1"/>
      <c r="V5" s="11"/>
      <c r="W5" s="11"/>
      <c r="X5" s="11"/>
      <c r="Y5" s="11"/>
      <c r="Z5" s="11"/>
      <c r="AA5" s="11"/>
    </row>
    <row r="6" spans="1:27">
      <c r="A6" s="11"/>
      <c r="B6" s="11"/>
      <c r="C6" s="11"/>
      <c r="D6" s="11"/>
      <c r="E6" s="11"/>
      <c r="F6" s="11"/>
      <c r="G6" s="11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1"/>
      <c r="V6" s="11"/>
      <c r="W6" s="11"/>
      <c r="X6" s="11"/>
      <c r="Y6" s="11"/>
      <c r="Z6" s="11"/>
      <c r="AA6" s="11"/>
    </row>
    <row r="7" spans="1:27">
      <c r="A7" s="11"/>
      <c r="B7" s="11"/>
      <c r="C7" s="11"/>
      <c r="D7" s="11"/>
      <c r="E7" s="11"/>
      <c r="F7" s="11"/>
      <c r="G7" s="11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1"/>
      <c r="V7" s="11"/>
      <c r="W7" s="11"/>
      <c r="X7" s="11"/>
      <c r="Y7" s="11"/>
      <c r="Z7" s="11"/>
      <c r="AA7" s="11"/>
    </row>
    <row r="8" spans="1:27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A11" s="14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>
      <c r="A12" s="14"/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>
      <c r="A13" s="14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>
      <c r="A14" s="14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>
      <c r="A15" s="14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31">
      <c r="A16" s="14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E16" s="16"/>
    </row>
    <row r="17" spans="1:27">
      <c r="A17" s="14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>
      <c r="A18" s="14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>
      <c r="A19" s="14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>
      <c r="A20" s="14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>
      <c r="A21" s="14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>
      <c r="A22" s="14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>
      <c r="A23" s="14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>
      <c r="A24" s="14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>
      <c r="A25" s="14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>
      <c r="A32" s="14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>
      <c r="A33" s="14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>
      <c r="A34" s="14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>
      <c r="A35" s="14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>
      <c r="A36" s="14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>
      <c r="A37" s="14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>
      <c r="A41" s="14"/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>
      <c r="A42" s="14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>
      <c r="A43" s="14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>
      <c r="A44" s="14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>
      <c r="A45" s="14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>
      <c r="A46" s="14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>
      <c r="A47" s="14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>
      <c r="A48" s="14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>
      <c r="A49" s="14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>
      <c r="A50" s="14"/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>
      <c r="A51" s="14"/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>
      <c r="A52" s="14"/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>
      <c r="A53" s="14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>
      <c r="A54" s="14"/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>
      <c r="A55" s="14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>
      <c r="A56" s="14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</sheetData>
  <mergeCells count="1">
    <mergeCell ref="H4:T7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8"/>
  <sheetViews>
    <sheetView zoomScale="80" zoomScaleNormal="80" workbookViewId="0">
      <selection activeCell="B16" sqref="B16:C18"/>
    </sheetView>
  </sheetViews>
  <sheetFormatPr defaultColWidth="9" defaultRowHeight="15"/>
  <cols>
    <col min="1" max="1" width="12.6285714285714" customWidth="1"/>
    <col min="2" max="2" width="22.8190476190476" customWidth="1"/>
    <col min="3" max="4" width="18.4571428571429" customWidth="1"/>
    <col min="5" max="5" width="19.9047619047619" customWidth="1"/>
    <col min="6" max="6" width="12.6285714285714" customWidth="1"/>
    <col min="7" max="7" width="18.4571428571429" customWidth="1"/>
    <col min="8" max="8" width="12.3619047619048" customWidth="1"/>
    <col min="9" max="9" width="12.6285714285714" customWidth="1"/>
    <col min="10" max="10" width="16.2666666666667" customWidth="1"/>
    <col min="11" max="11" width="11.4571428571429" customWidth="1"/>
  </cols>
  <sheetData>
    <row r="2" ht="12.5" customHeight="1" spans="9:10">
      <c r="I2" t="s">
        <v>0</v>
      </c>
      <c r="J2" t="s">
        <v>1</v>
      </c>
    </row>
    <row r="3" spans="1:10">
      <c r="A3" t="s">
        <v>0</v>
      </c>
      <c r="B3" t="s">
        <v>2</v>
      </c>
      <c r="D3" t="s">
        <v>0</v>
      </c>
      <c r="E3" t="s">
        <v>3</v>
      </c>
      <c r="I3" s="1" t="s">
        <v>4</v>
      </c>
      <c r="J3" s="10">
        <v>8</v>
      </c>
    </row>
    <row r="4" spans="1:10">
      <c r="A4" s="1" t="s">
        <v>5</v>
      </c>
      <c r="B4" s="10">
        <v>152100</v>
      </c>
      <c r="D4" s="1" t="s">
        <v>6</v>
      </c>
      <c r="E4" s="10">
        <v>13</v>
      </c>
      <c r="I4" s="1" t="s">
        <v>7</v>
      </c>
      <c r="J4" s="10">
        <v>8</v>
      </c>
    </row>
    <row r="5" spans="1:10">
      <c r="A5" s="1" t="s">
        <v>8</v>
      </c>
      <c r="B5" s="10">
        <v>144270</v>
      </c>
      <c r="D5" s="1" t="s">
        <v>9</v>
      </c>
      <c r="E5" s="10">
        <v>14</v>
      </c>
      <c r="I5" s="1" t="s">
        <v>10</v>
      </c>
      <c r="J5" s="10">
        <v>1</v>
      </c>
    </row>
    <row r="6" spans="1:10">
      <c r="A6" s="1" t="s">
        <v>11</v>
      </c>
      <c r="B6" s="10">
        <v>95550</v>
      </c>
      <c r="D6" s="1" t="s">
        <v>12</v>
      </c>
      <c r="E6" s="10">
        <v>13</v>
      </c>
      <c r="I6" s="1" t="s">
        <v>13</v>
      </c>
      <c r="J6" s="10">
        <v>8</v>
      </c>
    </row>
    <row r="7" spans="1:10">
      <c r="A7" s="1" t="s">
        <v>14</v>
      </c>
      <c r="B7" s="10"/>
      <c r="D7" s="1" t="s">
        <v>14</v>
      </c>
      <c r="E7" s="10"/>
      <c r="I7" s="1" t="s">
        <v>15</v>
      </c>
      <c r="J7" s="10">
        <v>7</v>
      </c>
    </row>
    <row r="8" spans="1:10">
      <c r="A8" s="1" t="s">
        <v>16</v>
      </c>
      <c r="B8" s="10">
        <v>391920</v>
      </c>
      <c r="D8" s="1" t="s">
        <v>16</v>
      </c>
      <c r="E8" s="10">
        <v>40</v>
      </c>
      <c r="I8" s="1" t="s">
        <v>17</v>
      </c>
      <c r="J8" s="10">
        <v>8</v>
      </c>
    </row>
    <row r="9" spans="9:10">
      <c r="I9" s="1" t="s">
        <v>14</v>
      </c>
      <c r="J9" s="10"/>
    </row>
    <row r="10" spans="6:10">
      <c r="F10" t="s">
        <v>0</v>
      </c>
      <c r="G10" t="s">
        <v>2</v>
      </c>
      <c r="I10" s="1" t="s">
        <v>16</v>
      </c>
      <c r="J10" s="10">
        <v>40</v>
      </c>
    </row>
    <row r="11" spans="6:7">
      <c r="F11" s="1" t="s">
        <v>18</v>
      </c>
      <c r="G11" s="10">
        <v>14400</v>
      </c>
    </row>
    <row r="12" spans="6:7">
      <c r="F12" s="1" t="s">
        <v>19</v>
      </c>
      <c r="G12" s="10">
        <v>14580</v>
      </c>
    </row>
    <row r="13" spans="6:11">
      <c r="F13" s="1" t="s">
        <v>20</v>
      </c>
      <c r="G13" s="10">
        <v>16020</v>
      </c>
      <c r="J13" t="s">
        <v>0</v>
      </c>
      <c r="K13" t="s">
        <v>21</v>
      </c>
    </row>
    <row r="14" spans="6:11">
      <c r="F14" s="1" t="s">
        <v>22</v>
      </c>
      <c r="G14" s="10">
        <v>13860</v>
      </c>
      <c r="J14" s="1" t="s">
        <v>23</v>
      </c>
      <c r="K14" s="10">
        <v>1</v>
      </c>
    </row>
    <row r="15" spans="6:11">
      <c r="F15" s="1" t="s">
        <v>24</v>
      </c>
      <c r="G15" s="10">
        <v>15300</v>
      </c>
      <c r="J15" s="1" t="s">
        <v>25</v>
      </c>
      <c r="K15" s="10">
        <v>39</v>
      </c>
    </row>
    <row r="16" spans="2:11">
      <c r="B16" t="s">
        <v>0</v>
      </c>
      <c r="C16" t="s">
        <v>2</v>
      </c>
      <c r="F16" s="1" t="s">
        <v>16</v>
      </c>
      <c r="G16" s="10">
        <v>74160</v>
      </c>
      <c r="J16" s="1" t="s">
        <v>14</v>
      </c>
      <c r="K16" s="10"/>
    </row>
    <row r="17" spans="2:11">
      <c r="B17" s="1" t="s">
        <v>26</v>
      </c>
      <c r="C17" s="10">
        <v>391920</v>
      </c>
      <c r="J17" s="1" t="s">
        <v>16</v>
      </c>
      <c r="K17" s="10">
        <v>40</v>
      </c>
    </row>
    <row r="18" spans="2:3">
      <c r="B18" s="1" t="s">
        <v>16</v>
      </c>
      <c r="C18" s="10">
        <v>391920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"/>
  <sheetViews>
    <sheetView zoomScale="60" zoomScaleNormal="60" workbookViewId="0">
      <selection activeCell="U17" sqref="U17"/>
    </sheetView>
  </sheetViews>
  <sheetFormatPr defaultColWidth="8.90476190476191" defaultRowHeight="15"/>
  <cols>
    <col min="1" max="1" width="8.45714285714286" customWidth="1"/>
    <col min="2" max="2" width="11.6285714285714" style="1" customWidth="1"/>
    <col min="3" max="3" width="10.0857142857143" style="1" customWidth="1"/>
    <col min="4" max="4" width="8.18095238095238" style="1" customWidth="1"/>
    <col min="5" max="5" width="10.1809523809524" style="1" customWidth="1"/>
    <col min="6" max="6" width="12.8190476190476" style="1" customWidth="1"/>
    <col min="7" max="7" width="7.62857142857143" style="1" customWidth="1"/>
    <col min="8" max="8" width="14" customWidth="1"/>
    <col min="9" max="10" width="14.0857142857143" customWidth="1"/>
    <col min="11" max="11" width="15.9047619047619" customWidth="1"/>
    <col min="12" max="12" width="5.90476190476191" customWidth="1"/>
    <col min="13" max="13" width="10.5428571428571" customWidth="1"/>
    <col min="14" max="14" width="11.1809523809524" customWidth="1"/>
    <col min="15" max="15" width="14.4571428571429" customWidth="1"/>
    <col min="16" max="16" width="11.9047619047619" customWidth="1"/>
    <col min="17" max="17" width="11.5428571428571" customWidth="1"/>
    <col min="18" max="18" width="27.1809523809524" customWidth="1"/>
    <col min="19" max="19" width="21.9047619047619" customWidth="1"/>
    <col min="20" max="20" width="31.5428571428571" customWidth="1"/>
    <col min="21" max="21" width="29.3619047619048" customWidth="1"/>
  </cols>
  <sheetData>
    <row r="1" spans="1:18">
      <c r="A1" s="2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7" t="s">
        <v>44</v>
      </c>
    </row>
    <row r="2" spans="1:18">
      <c r="A2" s="4">
        <v>1</v>
      </c>
      <c r="B2" s="5" t="s">
        <v>45</v>
      </c>
      <c r="C2" s="5" t="s">
        <v>46</v>
      </c>
      <c r="D2" s="5" t="s">
        <v>47</v>
      </c>
      <c r="E2" s="5" t="s">
        <v>15</v>
      </c>
      <c r="F2" s="5" t="s">
        <v>8</v>
      </c>
      <c r="G2" s="5" t="s">
        <v>48</v>
      </c>
      <c r="H2" s="4">
        <v>2011</v>
      </c>
      <c r="I2" s="4">
        <v>93000</v>
      </c>
      <c r="J2" s="4" t="s">
        <v>9</v>
      </c>
      <c r="K2" s="6">
        <v>45659</v>
      </c>
      <c r="L2" s="4">
        <v>12</v>
      </c>
      <c r="M2" s="4">
        <v>1560</v>
      </c>
      <c r="N2" s="4">
        <f>IF(F2="Moto",5%,IF(F2="Voiture",3%,6%))</f>
        <v>0.05</v>
      </c>
      <c r="O2" s="4">
        <f>I2*N2</f>
        <v>4650</v>
      </c>
      <c r="P2" s="4">
        <f>M2+O2</f>
        <v>6210</v>
      </c>
      <c r="Q2" s="4" t="str">
        <f>IF(P2&lt;2000,"Standard",IF(P2&lt;5000,"Premium","VIP"))</f>
        <v>VIP</v>
      </c>
      <c r="R2" s="8">
        <f>RANK(P2,$P$2:$P$41,0)</f>
        <v>36</v>
      </c>
    </row>
    <row r="3" spans="1:18">
      <c r="A3" s="4">
        <v>2</v>
      </c>
      <c r="B3" s="5" t="s">
        <v>49</v>
      </c>
      <c r="C3" s="5" t="s">
        <v>50</v>
      </c>
      <c r="D3" s="5" t="s">
        <v>51</v>
      </c>
      <c r="E3" s="5" t="s">
        <v>15</v>
      </c>
      <c r="F3" s="5" t="s">
        <v>5</v>
      </c>
      <c r="G3" s="5" t="s">
        <v>52</v>
      </c>
      <c r="H3" s="4">
        <v>2012</v>
      </c>
      <c r="I3" s="4">
        <v>96000</v>
      </c>
      <c r="J3" s="4" t="s">
        <v>12</v>
      </c>
      <c r="K3" s="6">
        <v>45660</v>
      </c>
      <c r="L3" s="4">
        <v>12</v>
      </c>
      <c r="M3" s="4">
        <v>1620</v>
      </c>
      <c r="N3" s="4">
        <f t="shared" ref="N3:N41" si="0">IF(F3="Moto",5%,IF(F3="Voiture",3%,6%))</f>
        <v>0.06</v>
      </c>
      <c r="O3" s="4">
        <f t="shared" ref="O3:O41" si="1">I3*N3</f>
        <v>5760</v>
      </c>
      <c r="P3" s="4">
        <f t="shared" ref="P3:P41" si="2">M3+O3</f>
        <v>7380</v>
      </c>
      <c r="Q3" s="4" t="str">
        <f t="shared" ref="Q3:Q41" si="3">IF(P3&lt;2000,"Standard",IF(P3&lt;5000,"Premium","VIP"))</f>
        <v>VIP</v>
      </c>
      <c r="R3" s="8">
        <f t="shared" ref="R3:R41" si="4">RANK(P3,$P$2:$P$41,0)</f>
        <v>31</v>
      </c>
    </row>
    <row r="4" spans="1:21">
      <c r="A4" s="4">
        <v>3</v>
      </c>
      <c r="B4" s="5" t="s">
        <v>53</v>
      </c>
      <c r="C4" s="5" t="s">
        <v>54</v>
      </c>
      <c r="D4" s="5" t="s">
        <v>55</v>
      </c>
      <c r="E4" s="5" t="s">
        <v>13</v>
      </c>
      <c r="F4" s="5" t="s">
        <v>11</v>
      </c>
      <c r="G4" s="5" t="s">
        <v>56</v>
      </c>
      <c r="H4" s="4">
        <v>2013</v>
      </c>
      <c r="I4" s="4">
        <v>99000</v>
      </c>
      <c r="J4" s="4" t="s">
        <v>6</v>
      </c>
      <c r="K4" s="6">
        <v>45661</v>
      </c>
      <c r="L4" s="4">
        <v>12</v>
      </c>
      <c r="M4" s="4">
        <v>1680</v>
      </c>
      <c r="N4" s="4">
        <f t="shared" si="0"/>
        <v>0.03</v>
      </c>
      <c r="O4" s="4">
        <f t="shared" si="1"/>
        <v>2970</v>
      </c>
      <c r="P4" s="4">
        <f t="shared" si="2"/>
        <v>4650</v>
      </c>
      <c r="Q4" s="4" t="str">
        <f t="shared" si="3"/>
        <v>Premium</v>
      </c>
      <c r="R4" s="8">
        <f t="shared" si="4"/>
        <v>40</v>
      </c>
      <c r="T4" s="9" t="s">
        <v>12</v>
      </c>
      <c r="U4" s="8">
        <f>COUNTIF(J:J,"Tous Risques")</f>
        <v>13</v>
      </c>
    </row>
    <row r="5" spans="1:21">
      <c r="A5" s="4">
        <v>4</v>
      </c>
      <c r="B5" s="5" t="s">
        <v>57</v>
      </c>
      <c r="C5" s="5" t="s">
        <v>58</v>
      </c>
      <c r="D5" s="5" t="s">
        <v>59</v>
      </c>
      <c r="E5" s="5" t="s">
        <v>17</v>
      </c>
      <c r="F5" s="5" t="s">
        <v>8</v>
      </c>
      <c r="G5" s="5" t="s">
        <v>60</v>
      </c>
      <c r="H5" s="4">
        <v>2014</v>
      </c>
      <c r="I5" s="4">
        <v>102000</v>
      </c>
      <c r="J5" s="4" t="s">
        <v>9</v>
      </c>
      <c r="K5" s="6">
        <v>45662</v>
      </c>
      <c r="L5" s="4">
        <v>12</v>
      </c>
      <c r="M5" s="4">
        <v>1740</v>
      </c>
      <c r="N5" s="4">
        <f t="shared" si="0"/>
        <v>0.05</v>
      </c>
      <c r="O5" s="4">
        <f t="shared" si="1"/>
        <v>5100</v>
      </c>
      <c r="P5" s="4">
        <f t="shared" si="2"/>
        <v>6840</v>
      </c>
      <c r="Q5" s="4" t="str">
        <f t="shared" si="3"/>
        <v>VIP</v>
      </c>
      <c r="R5" s="8">
        <f t="shared" si="4"/>
        <v>34</v>
      </c>
      <c r="T5" s="9" t="s">
        <v>61</v>
      </c>
      <c r="U5" s="8">
        <f>COUNTIF(F:F,"Voiture")</f>
        <v>13</v>
      </c>
    </row>
    <row r="6" spans="1:18">
      <c r="A6" s="4">
        <v>5</v>
      </c>
      <c r="B6" s="5" t="s">
        <v>62</v>
      </c>
      <c r="C6" s="5" t="s">
        <v>63</v>
      </c>
      <c r="D6" s="5" t="s">
        <v>64</v>
      </c>
      <c r="E6" s="5" t="s">
        <v>7</v>
      </c>
      <c r="F6" s="5" t="s">
        <v>5</v>
      </c>
      <c r="G6" s="5" t="s">
        <v>65</v>
      </c>
      <c r="H6" s="4">
        <v>2015</v>
      </c>
      <c r="I6" s="4">
        <v>105000</v>
      </c>
      <c r="J6" s="4" t="s">
        <v>12</v>
      </c>
      <c r="K6" s="6">
        <v>45663</v>
      </c>
      <c r="L6" s="4">
        <v>12</v>
      </c>
      <c r="M6" s="4">
        <v>1800</v>
      </c>
      <c r="N6" s="4">
        <f t="shared" si="0"/>
        <v>0.06</v>
      </c>
      <c r="O6" s="4">
        <f t="shared" si="1"/>
        <v>6300</v>
      </c>
      <c r="P6" s="4">
        <f t="shared" si="2"/>
        <v>8100</v>
      </c>
      <c r="Q6" s="4" t="str">
        <f t="shared" si="3"/>
        <v>VIP</v>
      </c>
      <c r="R6" s="8">
        <f t="shared" si="4"/>
        <v>27</v>
      </c>
    </row>
    <row r="7" spans="1:18">
      <c r="A7" s="4">
        <v>6</v>
      </c>
      <c r="B7" s="5" t="s">
        <v>66</v>
      </c>
      <c r="C7" s="5" t="s">
        <v>67</v>
      </c>
      <c r="D7" s="5" t="s">
        <v>68</v>
      </c>
      <c r="E7" s="5" t="s">
        <v>4</v>
      </c>
      <c r="F7" s="5" t="s">
        <v>11</v>
      </c>
      <c r="G7" s="5" t="s">
        <v>69</v>
      </c>
      <c r="H7" s="4">
        <v>2016</v>
      </c>
      <c r="I7" s="4">
        <v>108000</v>
      </c>
      <c r="J7" s="4" t="s">
        <v>6</v>
      </c>
      <c r="K7" s="6">
        <v>45664</v>
      </c>
      <c r="L7" s="4">
        <v>12</v>
      </c>
      <c r="M7" s="4">
        <v>1860</v>
      </c>
      <c r="N7" s="4">
        <f t="shared" si="0"/>
        <v>0.03</v>
      </c>
      <c r="O7" s="4">
        <f t="shared" si="1"/>
        <v>3240</v>
      </c>
      <c r="P7" s="4">
        <f t="shared" si="2"/>
        <v>5100</v>
      </c>
      <c r="Q7" s="4" t="str">
        <f t="shared" si="3"/>
        <v>VIP</v>
      </c>
      <c r="R7" s="8">
        <f t="shared" si="4"/>
        <v>39</v>
      </c>
    </row>
    <row r="8" spans="1:21">
      <c r="A8" s="4">
        <v>7</v>
      </c>
      <c r="B8" s="5" t="s">
        <v>70</v>
      </c>
      <c r="C8" s="5" t="s">
        <v>71</v>
      </c>
      <c r="D8" s="5" t="s">
        <v>72</v>
      </c>
      <c r="E8" s="5" t="s">
        <v>13</v>
      </c>
      <c r="F8" s="5" t="s">
        <v>8</v>
      </c>
      <c r="G8" s="5" t="s">
        <v>48</v>
      </c>
      <c r="H8" s="4">
        <v>2017</v>
      </c>
      <c r="I8" s="4">
        <v>111000</v>
      </c>
      <c r="J8" s="4" t="s">
        <v>9</v>
      </c>
      <c r="K8" s="6">
        <v>45665</v>
      </c>
      <c r="L8" s="4">
        <v>12</v>
      </c>
      <c r="M8" s="4">
        <v>1920</v>
      </c>
      <c r="N8" s="4">
        <f t="shared" si="0"/>
        <v>0.05</v>
      </c>
      <c r="O8" s="4">
        <f t="shared" si="1"/>
        <v>5550</v>
      </c>
      <c r="P8" s="4">
        <f t="shared" si="2"/>
        <v>7470</v>
      </c>
      <c r="Q8" s="4" t="str">
        <f t="shared" si="3"/>
        <v>VIP</v>
      </c>
      <c r="R8" s="8">
        <f t="shared" si="4"/>
        <v>30</v>
      </c>
      <c r="T8" s="9" t="s">
        <v>73</v>
      </c>
      <c r="U8" s="8">
        <f>SUMIF(E:E,"Ouarzazate",P:P)</f>
        <v>72060</v>
      </c>
    </row>
    <row r="9" spans="1:21">
      <c r="A9" s="4">
        <v>8</v>
      </c>
      <c r="B9" s="5" t="s">
        <v>74</v>
      </c>
      <c r="C9" s="5" t="s">
        <v>75</v>
      </c>
      <c r="D9" s="5" t="s">
        <v>76</v>
      </c>
      <c r="E9" s="5" t="s">
        <v>10</v>
      </c>
      <c r="F9" s="5" t="s">
        <v>5</v>
      </c>
      <c r="G9" s="5" t="s">
        <v>52</v>
      </c>
      <c r="H9" s="4">
        <v>2018</v>
      </c>
      <c r="I9" s="4">
        <v>114000</v>
      </c>
      <c r="J9" s="4" t="s">
        <v>12</v>
      </c>
      <c r="K9" s="6">
        <v>45666</v>
      </c>
      <c r="L9" s="4">
        <v>12</v>
      </c>
      <c r="M9" s="4">
        <v>1980</v>
      </c>
      <c r="N9" s="4">
        <f t="shared" si="0"/>
        <v>0.06</v>
      </c>
      <c r="O9" s="4">
        <f t="shared" si="1"/>
        <v>6840</v>
      </c>
      <c r="P9" s="4">
        <f t="shared" si="2"/>
        <v>8820</v>
      </c>
      <c r="Q9" s="4" t="str">
        <f t="shared" si="3"/>
        <v>VIP</v>
      </c>
      <c r="R9" s="8">
        <f t="shared" si="4"/>
        <v>23</v>
      </c>
      <c r="T9" s="9" t="s">
        <v>77</v>
      </c>
      <c r="U9" s="8">
        <f>SUMIF(F:F,"Camion",P:P)</f>
        <v>152100</v>
      </c>
    </row>
    <row r="10" spans="1:18">
      <c r="A10" s="4">
        <v>9</v>
      </c>
      <c r="B10" s="5" t="s">
        <v>78</v>
      </c>
      <c r="C10" s="5" t="s">
        <v>79</v>
      </c>
      <c r="D10" s="5" t="s">
        <v>80</v>
      </c>
      <c r="E10" s="5" t="s">
        <v>17</v>
      </c>
      <c r="F10" s="5" t="s">
        <v>11</v>
      </c>
      <c r="G10" s="5" t="s">
        <v>56</v>
      </c>
      <c r="H10" s="4">
        <v>2019</v>
      </c>
      <c r="I10" s="4">
        <v>117000</v>
      </c>
      <c r="J10" s="4" t="s">
        <v>6</v>
      </c>
      <c r="K10" s="6">
        <v>45667</v>
      </c>
      <c r="L10" s="4">
        <v>12</v>
      </c>
      <c r="M10" s="4">
        <v>2040</v>
      </c>
      <c r="N10" s="4">
        <f t="shared" si="0"/>
        <v>0.03</v>
      </c>
      <c r="O10" s="4">
        <f t="shared" si="1"/>
        <v>3510</v>
      </c>
      <c r="P10" s="4">
        <f t="shared" si="2"/>
        <v>5550</v>
      </c>
      <c r="Q10" s="4" t="str">
        <f t="shared" si="3"/>
        <v>VIP</v>
      </c>
      <c r="R10" s="8">
        <f t="shared" si="4"/>
        <v>38</v>
      </c>
    </row>
    <row r="11" spans="1:18">
      <c r="A11" s="4">
        <v>10</v>
      </c>
      <c r="B11" s="5" t="s">
        <v>81</v>
      </c>
      <c r="C11" s="5" t="s">
        <v>82</v>
      </c>
      <c r="D11" s="5" t="s">
        <v>83</v>
      </c>
      <c r="E11" s="5" t="s">
        <v>4</v>
      </c>
      <c r="F11" s="5" t="s">
        <v>8</v>
      </c>
      <c r="G11" s="5" t="s">
        <v>60</v>
      </c>
      <c r="H11" s="4">
        <v>2020</v>
      </c>
      <c r="I11" s="4">
        <v>120000</v>
      </c>
      <c r="J11" s="4" t="s">
        <v>9</v>
      </c>
      <c r="K11" s="6">
        <v>45668</v>
      </c>
      <c r="L11" s="4">
        <v>12</v>
      </c>
      <c r="M11" s="4">
        <v>2100</v>
      </c>
      <c r="N11" s="4">
        <f t="shared" si="0"/>
        <v>0.05</v>
      </c>
      <c r="O11" s="4">
        <f t="shared" si="1"/>
        <v>6000</v>
      </c>
      <c r="P11" s="4">
        <f t="shared" si="2"/>
        <v>8100</v>
      </c>
      <c r="Q11" s="4" t="str">
        <f t="shared" si="3"/>
        <v>VIP</v>
      </c>
      <c r="R11" s="8">
        <f t="shared" si="4"/>
        <v>27</v>
      </c>
    </row>
    <row r="12" spans="1:21">
      <c r="A12" s="4">
        <v>11</v>
      </c>
      <c r="B12" s="5" t="s">
        <v>84</v>
      </c>
      <c r="C12" s="5" t="s">
        <v>85</v>
      </c>
      <c r="D12" s="5" t="s">
        <v>86</v>
      </c>
      <c r="E12" s="5" t="s">
        <v>7</v>
      </c>
      <c r="F12" s="5" t="s">
        <v>5</v>
      </c>
      <c r="G12" s="5" t="s">
        <v>65</v>
      </c>
      <c r="H12" s="4">
        <v>2021</v>
      </c>
      <c r="I12" s="4">
        <v>123000</v>
      </c>
      <c r="J12" s="4" t="s">
        <v>12</v>
      </c>
      <c r="K12" s="6">
        <v>45669</v>
      </c>
      <c r="L12" s="4">
        <v>12</v>
      </c>
      <c r="M12" s="4">
        <v>2160</v>
      </c>
      <c r="N12" s="4">
        <f t="shared" si="0"/>
        <v>0.06</v>
      </c>
      <c r="O12" s="4">
        <f t="shared" si="1"/>
        <v>7380</v>
      </c>
      <c r="P12" s="4">
        <f t="shared" si="2"/>
        <v>9540</v>
      </c>
      <c r="Q12" s="4" t="str">
        <f t="shared" si="3"/>
        <v>VIP</v>
      </c>
      <c r="R12" s="8">
        <f t="shared" si="4"/>
        <v>20</v>
      </c>
      <c r="T12" s="9" t="s">
        <v>87</v>
      </c>
      <c r="U12" s="8">
        <v>1</v>
      </c>
    </row>
    <row r="13" spans="1:21">
      <c r="A13" s="4">
        <v>12</v>
      </c>
      <c r="B13" s="5" t="s">
        <v>88</v>
      </c>
      <c r="C13" s="5" t="s">
        <v>89</v>
      </c>
      <c r="D13" s="5" t="s">
        <v>90</v>
      </c>
      <c r="E13" s="5" t="s">
        <v>13</v>
      </c>
      <c r="F13" s="5" t="s">
        <v>11</v>
      </c>
      <c r="G13" s="5" t="s">
        <v>69</v>
      </c>
      <c r="H13" s="4">
        <v>2022</v>
      </c>
      <c r="I13" s="4">
        <v>126000</v>
      </c>
      <c r="J13" s="4" t="s">
        <v>6</v>
      </c>
      <c r="K13" s="6">
        <v>45670</v>
      </c>
      <c r="L13" s="4">
        <v>12</v>
      </c>
      <c r="M13" s="4">
        <v>2220</v>
      </c>
      <c r="N13" s="4">
        <f t="shared" si="0"/>
        <v>0.03</v>
      </c>
      <c r="O13" s="4">
        <f t="shared" si="1"/>
        <v>3780</v>
      </c>
      <c r="P13" s="4">
        <f t="shared" si="2"/>
        <v>6000</v>
      </c>
      <c r="Q13" s="4" t="str">
        <f t="shared" si="3"/>
        <v>VIP</v>
      </c>
      <c r="R13" s="8">
        <f t="shared" si="4"/>
        <v>37</v>
      </c>
      <c r="T13" s="9" t="s">
        <v>91</v>
      </c>
      <c r="U13" s="8" t="str">
        <f>INDEX(B:B,MATCH(U12,A:A,0))</f>
        <v>El Amrani</v>
      </c>
    </row>
    <row r="14" spans="1:21">
      <c r="A14" s="4">
        <v>13</v>
      </c>
      <c r="B14" s="5" t="s">
        <v>92</v>
      </c>
      <c r="C14" s="5" t="s">
        <v>93</v>
      </c>
      <c r="D14" s="5" t="s">
        <v>94</v>
      </c>
      <c r="E14" s="5" t="s">
        <v>15</v>
      </c>
      <c r="F14" s="5" t="s">
        <v>8</v>
      </c>
      <c r="G14" s="5" t="s">
        <v>48</v>
      </c>
      <c r="H14" s="4">
        <v>2023</v>
      </c>
      <c r="I14" s="4">
        <v>129000</v>
      </c>
      <c r="J14" s="4" t="s">
        <v>9</v>
      </c>
      <c r="K14" s="6">
        <v>45671</v>
      </c>
      <c r="L14" s="4">
        <v>12</v>
      </c>
      <c r="M14" s="4">
        <v>2280</v>
      </c>
      <c r="N14" s="4">
        <f t="shared" si="0"/>
        <v>0.05</v>
      </c>
      <c r="O14" s="4">
        <f t="shared" si="1"/>
        <v>6450</v>
      </c>
      <c r="P14" s="4">
        <f t="shared" si="2"/>
        <v>8730</v>
      </c>
      <c r="Q14" s="4" t="str">
        <f t="shared" si="3"/>
        <v>VIP</v>
      </c>
      <c r="R14" s="8">
        <f t="shared" si="4"/>
        <v>24</v>
      </c>
      <c r="T14" s="9" t="s">
        <v>95</v>
      </c>
      <c r="U14" s="8">
        <f>INDEX(O:O,MATCH(U12,A:A,0))</f>
        <v>4650</v>
      </c>
    </row>
    <row r="15" spans="1:18">
      <c r="A15" s="4">
        <v>14</v>
      </c>
      <c r="B15" s="5" t="s">
        <v>96</v>
      </c>
      <c r="C15" s="5" t="s">
        <v>97</v>
      </c>
      <c r="D15" s="5" t="s">
        <v>98</v>
      </c>
      <c r="E15" s="5" t="s">
        <v>4</v>
      </c>
      <c r="F15" s="5" t="s">
        <v>5</v>
      </c>
      <c r="G15" s="5" t="s">
        <v>52</v>
      </c>
      <c r="H15" s="4">
        <v>2010</v>
      </c>
      <c r="I15" s="4">
        <v>132000</v>
      </c>
      <c r="J15" s="4" t="s">
        <v>12</v>
      </c>
      <c r="K15" s="6">
        <v>45672</v>
      </c>
      <c r="L15" s="4">
        <v>12</v>
      </c>
      <c r="M15" s="4">
        <v>2340</v>
      </c>
      <c r="N15" s="4">
        <f t="shared" si="0"/>
        <v>0.06</v>
      </c>
      <c r="O15" s="4">
        <f t="shared" si="1"/>
        <v>7920</v>
      </c>
      <c r="P15" s="4">
        <f t="shared" si="2"/>
        <v>10260</v>
      </c>
      <c r="Q15" s="4" t="str">
        <f t="shared" si="3"/>
        <v>VIP</v>
      </c>
      <c r="R15" s="8">
        <f t="shared" si="4"/>
        <v>16</v>
      </c>
    </row>
    <row r="16" spans="1:18">
      <c r="A16" s="4">
        <v>15</v>
      </c>
      <c r="B16" s="5" t="s">
        <v>99</v>
      </c>
      <c r="C16" s="5" t="s">
        <v>100</v>
      </c>
      <c r="D16" s="5" t="s">
        <v>101</v>
      </c>
      <c r="E16" s="5" t="s">
        <v>7</v>
      </c>
      <c r="F16" s="5" t="s">
        <v>11</v>
      </c>
      <c r="G16" s="5" t="s">
        <v>56</v>
      </c>
      <c r="H16" s="4">
        <v>2011</v>
      </c>
      <c r="I16" s="4">
        <v>135000</v>
      </c>
      <c r="J16" s="4" t="s">
        <v>6</v>
      </c>
      <c r="K16" s="6">
        <v>45673</v>
      </c>
      <c r="L16" s="4">
        <v>12</v>
      </c>
      <c r="M16" s="4">
        <v>2400</v>
      </c>
      <c r="N16" s="4">
        <f t="shared" si="0"/>
        <v>0.03</v>
      </c>
      <c r="O16" s="4">
        <f t="shared" si="1"/>
        <v>4050</v>
      </c>
      <c r="P16" s="4">
        <f t="shared" si="2"/>
        <v>6450</v>
      </c>
      <c r="Q16" s="4" t="str">
        <f t="shared" si="3"/>
        <v>VIP</v>
      </c>
      <c r="R16" s="8">
        <f t="shared" si="4"/>
        <v>35</v>
      </c>
    </row>
    <row r="17" spans="1:18">
      <c r="A17" s="4">
        <v>16</v>
      </c>
      <c r="B17" s="5" t="s">
        <v>102</v>
      </c>
      <c r="C17" s="5" t="s">
        <v>103</v>
      </c>
      <c r="D17" s="5" t="s">
        <v>104</v>
      </c>
      <c r="E17" s="5" t="s">
        <v>17</v>
      </c>
      <c r="F17" s="5" t="s">
        <v>8</v>
      </c>
      <c r="G17" s="5" t="s">
        <v>60</v>
      </c>
      <c r="H17" s="4">
        <v>2012</v>
      </c>
      <c r="I17" s="4">
        <v>138000</v>
      </c>
      <c r="J17" s="4" t="s">
        <v>9</v>
      </c>
      <c r="K17" s="6">
        <v>45674</v>
      </c>
      <c r="L17" s="4">
        <v>12</v>
      </c>
      <c r="M17" s="4">
        <v>2460</v>
      </c>
      <c r="N17" s="4">
        <f t="shared" si="0"/>
        <v>0.05</v>
      </c>
      <c r="O17" s="4">
        <f t="shared" si="1"/>
        <v>6900</v>
      </c>
      <c r="P17" s="4">
        <f t="shared" si="2"/>
        <v>9360</v>
      </c>
      <c r="Q17" s="4" t="str">
        <f t="shared" si="3"/>
        <v>VIP</v>
      </c>
      <c r="R17" s="8">
        <f t="shared" si="4"/>
        <v>21</v>
      </c>
    </row>
    <row r="18" spans="1:18">
      <c r="A18" s="4">
        <v>17</v>
      </c>
      <c r="B18" s="5" t="s">
        <v>105</v>
      </c>
      <c r="C18" s="5" t="s">
        <v>106</v>
      </c>
      <c r="D18" s="5" t="s">
        <v>107</v>
      </c>
      <c r="E18" s="5" t="s">
        <v>13</v>
      </c>
      <c r="F18" s="5" t="s">
        <v>5</v>
      </c>
      <c r="G18" s="5" t="s">
        <v>65</v>
      </c>
      <c r="H18" s="4">
        <v>2013</v>
      </c>
      <c r="I18" s="4">
        <v>141000</v>
      </c>
      <c r="J18" s="4" t="s">
        <v>12</v>
      </c>
      <c r="K18" s="6">
        <v>45675</v>
      </c>
      <c r="L18" s="4">
        <v>12</v>
      </c>
      <c r="M18" s="4">
        <v>2520</v>
      </c>
      <c r="N18" s="4">
        <f t="shared" si="0"/>
        <v>0.06</v>
      </c>
      <c r="O18" s="4">
        <f t="shared" si="1"/>
        <v>8460</v>
      </c>
      <c r="P18" s="4">
        <f t="shared" si="2"/>
        <v>10980</v>
      </c>
      <c r="Q18" s="4" t="str">
        <f t="shared" si="3"/>
        <v>VIP</v>
      </c>
      <c r="R18" s="8">
        <f t="shared" si="4"/>
        <v>14</v>
      </c>
    </row>
    <row r="19" spans="1:18">
      <c r="A19" s="4">
        <v>18</v>
      </c>
      <c r="B19" s="5" t="s">
        <v>108</v>
      </c>
      <c r="C19" s="5" t="s">
        <v>109</v>
      </c>
      <c r="D19" s="5" t="s">
        <v>110</v>
      </c>
      <c r="E19" s="5" t="s">
        <v>15</v>
      </c>
      <c r="F19" s="5" t="s">
        <v>11</v>
      </c>
      <c r="G19" s="5" t="s">
        <v>69</v>
      </c>
      <c r="H19" s="4">
        <v>2014</v>
      </c>
      <c r="I19" s="4">
        <v>144000</v>
      </c>
      <c r="J19" s="4" t="s">
        <v>6</v>
      </c>
      <c r="K19" s="6">
        <v>45676</v>
      </c>
      <c r="L19" s="4">
        <v>12</v>
      </c>
      <c r="M19" s="4">
        <v>2580</v>
      </c>
      <c r="N19" s="4">
        <f t="shared" si="0"/>
        <v>0.03</v>
      </c>
      <c r="O19" s="4">
        <f t="shared" si="1"/>
        <v>4320</v>
      </c>
      <c r="P19" s="4">
        <f t="shared" si="2"/>
        <v>6900</v>
      </c>
      <c r="Q19" s="4" t="str">
        <f t="shared" si="3"/>
        <v>VIP</v>
      </c>
      <c r="R19" s="8">
        <f t="shared" si="4"/>
        <v>33</v>
      </c>
    </row>
    <row r="20" spans="1:18">
      <c r="A20" s="4">
        <v>19</v>
      </c>
      <c r="B20" s="5" t="s">
        <v>111</v>
      </c>
      <c r="C20" s="5" t="s">
        <v>112</v>
      </c>
      <c r="D20" s="5" t="s">
        <v>113</v>
      </c>
      <c r="E20" s="5" t="s">
        <v>4</v>
      </c>
      <c r="F20" s="5" t="s">
        <v>8</v>
      </c>
      <c r="G20" s="5" t="s">
        <v>48</v>
      </c>
      <c r="H20" s="4">
        <v>2015</v>
      </c>
      <c r="I20" s="4">
        <v>147000</v>
      </c>
      <c r="J20" s="4" t="s">
        <v>9</v>
      </c>
      <c r="K20" s="6">
        <v>45677</v>
      </c>
      <c r="L20" s="4">
        <v>12</v>
      </c>
      <c r="M20" s="4">
        <v>2640</v>
      </c>
      <c r="N20" s="4">
        <f t="shared" si="0"/>
        <v>0.05</v>
      </c>
      <c r="O20" s="4">
        <f t="shared" si="1"/>
        <v>7350</v>
      </c>
      <c r="P20" s="4">
        <f t="shared" si="2"/>
        <v>9990</v>
      </c>
      <c r="Q20" s="4" t="str">
        <f t="shared" si="3"/>
        <v>VIP</v>
      </c>
      <c r="R20" s="8">
        <f t="shared" si="4"/>
        <v>18</v>
      </c>
    </row>
    <row r="21" spans="1:18">
      <c r="A21" s="4">
        <v>20</v>
      </c>
      <c r="B21" s="5" t="s">
        <v>114</v>
      </c>
      <c r="C21" s="5" t="s">
        <v>115</v>
      </c>
      <c r="D21" s="5" t="s">
        <v>116</v>
      </c>
      <c r="E21" s="5" t="s">
        <v>7</v>
      </c>
      <c r="F21" s="5" t="s">
        <v>5</v>
      </c>
      <c r="G21" s="5" t="s">
        <v>52</v>
      </c>
      <c r="H21" s="4">
        <v>2016</v>
      </c>
      <c r="I21" s="4">
        <v>150000</v>
      </c>
      <c r="J21" s="4" t="s">
        <v>12</v>
      </c>
      <c r="K21" s="6">
        <v>45678</v>
      </c>
      <c r="L21" s="4">
        <v>12</v>
      </c>
      <c r="M21" s="4">
        <v>2700</v>
      </c>
      <c r="N21" s="4">
        <f t="shared" si="0"/>
        <v>0.06</v>
      </c>
      <c r="O21" s="4">
        <f t="shared" si="1"/>
        <v>9000</v>
      </c>
      <c r="P21" s="4">
        <f t="shared" si="2"/>
        <v>11700</v>
      </c>
      <c r="Q21" s="4" t="str">
        <f t="shared" si="3"/>
        <v>VIP</v>
      </c>
      <c r="R21" s="8">
        <f t="shared" si="4"/>
        <v>12</v>
      </c>
    </row>
    <row r="22" spans="1:18">
      <c r="A22" s="4">
        <v>21</v>
      </c>
      <c r="B22" s="5" t="s">
        <v>117</v>
      </c>
      <c r="C22" s="5" t="s">
        <v>118</v>
      </c>
      <c r="D22" s="5" t="s">
        <v>119</v>
      </c>
      <c r="E22" s="5" t="s">
        <v>17</v>
      </c>
      <c r="F22" s="5" t="s">
        <v>11</v>
      </c>
      <c r="G22" s="5" t="s">
        <v>56</v>
      </c>
      <c r="H22" s="4">
        <v>2017</v>
      </c>
      <c r="I22" s="4">
        <v>153000</v>
      </c>
      <c r="J22" s="4" t="s">
        <v>6</v>
      </c>
      <c r="K22" s="6">
        <v>45679</v>
      </c>
      <c r="L22" s="4">
        <v>12</v>
      </c>
      <c r="M22" s="4">
        <v>2760</v>
      </c>
      <c r="N22" s="4">
        <f t="shared" si="0"/>
        <v>0.03</v>
      </c>
      <c r="O22" s="4">
        <f t="shared" si="1"/>
        <v>4590</v>
      </c>
      <c r="P22" s="4">
        <f t="shared" si="2"/>
        <v>7350</v>
      </c>
      <c r="Q22" s="4" t="str">
        <f t="shared" si="3"/>
        <v>VIP</v>
      </c>
      <c r="R22" s="8">
        <f t="shared" si="4"/>
        <v>32</v>
      </c>
    </row>
    <row r="23" spans="1:18">
      <c r="A23" s="4">
        <v>22</v>
      </c>
      <c r="B23" s="5" t="s">
        <v>120</v>
      </c>
      <c r="C23" s="5" t="s">
        <v>121</v>
      </c>
      <c r="D23" s="5" t="s">
        <v>122</v>
      </c>
      <c r="E23" s="5" t="s">
        <v>13</v>
      </c>
      <c r="F23" s="5" t="s">
        <v>8</v>
      </c>
      <c r="G23" s="5" t="s">
        <v>60</v>
      </c>
      <c r="H23" s="4">
        <v>2018</v>
      </c>
      <c r="I23" s="4">
        <v>156000</v>
      </c>
      <c r="J23" s="4" t="s">
        <v>9</v>
      </c>
      <c r="K23" s="6">
        <v>45680</v>
      </c>
      <c r="L23" s="4">
        <v>12</v>
      </c>
      <c r="M23" s="4">
        <v>2820</v>
      </c>
      <c r="N23" s="4">
        <f t="shared" si="0"/>
        <v>0.05</v>
      </c>
      <c r="O23" s="4">
        <f t="shared" si="1"/>
        <v>7800</v>
      </c>
      <c r="P23" s="4">
        <f t="shared" si="2"/>
        <v>10620</v>
      </c>
      <c r="Q23" s="4" t="str">
        <f t="shared" si="3"/>
        <v>VIP</v>
      </c>
      <c r="R23" s="8">
        <f t="shared" si="4"/>
        <v>15</v>
      </c>
    </row>
    <row r="24" spans="1:18">
      <c r="A24" s="4">
        <v>23</v>
      </c>
      <c r="B24" s="5" t="s">
        <v>123</v>
      </c>
      <c r="C24" s="5" t="s">
        <v>124</v>
      </c>
      <c r="D24" s="5" t="s">
        <v>125</v>
      </c>
      <c r="E24" s="5" t="s">
        <v>4</v>
      </c>
      <c r="F24" s="5" t="s">
        <v>5</v>
      </c>
      <c r="G24" s="5" t="s">
        <v>65</v>
      </c>
      <c r="H24" s="4">
        <v>2019</v>
      </c>
      <c r="I24" s="4">
        <v>159000</v>
      </c>
      <c r="J24" s="4" t="s">
        <v>12</v>
      </c>
      <c r="K24" s="6">
        <v>45681</v>
      </c>
      <c r="L24" s="4">
        <v>12</v>
      </c>
      <c r="M24" s="4">
        <v>2880</v>
      </c>
      <c r="N24" s="4">
        <f t="shared" si="0"/>
        <v>0.06</v>
      </c>
      <c r="O24" s="4">
        <f t="shared" si="1"/>
        <v>9540</v>
      </c>
      <c r="P24" s="4">
        <f t="shared" si="2"/>
        <v>12420</v>
      </c>
      <c r="Q24" s="4" t="str">
        <f t="shared" si="3"/>
        <v>VIP</v>
      </c>
      <c r="R24" s="8">
        <f t="shared" si="4"/>
        <v>10</v>
      </c>
    </row>
    <row r="25" spans="1:18">
      <c r="A25" s="4">
        <v>24</v>
      </c>
      <c r="B25" s="5" t="s">
        <v>126</v>
      </c>
      <c r="C25" s="5" t="s">
        <v>127</v>
      </c>
      <c r="D25" s="5" t="s">
        <v>128</v>
      </c>
      <c r="E25" s="5" t="s">
        <v>17</v>
      </c>
      <c r="F25" s="5" t="s">
        <v>11</v>
      </c>
      <c r="G25" s="5" t="s">
        <v>69</v>
      </c>
      <c r="H25" s="4">
        <v>2020</v>
      </c>
      <c r="I25" s="4">
        <v>162000</v>
      </c>
      <c r="J25" s="4" t="s">
        <v>6</v>
      </c>
      <c r="K25" s="6">
        <v>45682</v>
      </c>
      <c r="L25" s="4">
        <v>12</v>
      </c>
      <c r="M25" s="4">
        <v>2940</v>
      </c>
      <c r="N25" s="4">
        <f t="shared" si="0"/>
        <v>0.03</v>
      </c>
      <c r="O25" s="4">
        <f t="shared" si="1"/>
        <v>4860</v>
      </c>
      <c r="P25" s="4">
        <f t="shared" si="2"/>
        <v>7800</v>
      </c>
      <c r="Q25" s="4" t="str">
        <f t="shared" si="3"/>
        <v>VIP</v>
      </c>
      <c r="R25" s="8">
        <f t="shared" si="4"/>
        <v>29</v>
      </c>
    </row>
    <row r="26" spans="1:18">
      <c r="A26" s="4">
        <v>25</v>
      </c>
      <c r="B26" s="5" t="s">
        <v>129</v>
      </c>
      <c r="C26" s="5" t="s">
        <v>130</v>
      </c>
      <c r="D26" s="5" t="s">
        <v>131</v>
      </c>
      <c r="E26" s="5" t="s">
        <v>7</v>
      </c>
      <c r="F26" s="5" t="s">
        <v>8</v>
      </c>
      <c r="G26" s="5" t="s">
        <v>48</v>
      </c>
      <c r="H26" s="4">
        <v>2021</v>
      </c>
      <c r="I26" s="4">
        <v>165000</v>
      </c>
      <c r="J26" s="4" t="s">
        <v>9</v>
      </c>
      <c r="K26" s="6">
        <v>45683</v>
      </c>
      <c r="L26" s="4">
        <v>12</v>
      </c>
      <c r="M26" s="4">
        <v>3000</v>
      </c>
      <c r="N26" s="4">
        <f t="shared" si="0"/>
        <v>0.05</v>
      </c>
      <c r="O26" s="4">
        <f t="shared" si="1"/>
        <v>8250</v>
      </c>
      <c r="P26" s="4">
        <f t="shared" si="2"/>
        <v>11250</v>
      </c>
      <c r="Q26" s="4" t="str">
        <f t="shared" si="3"/>
        <v>VIP</v>
      </c>
      <c r="R26" s="8">
        <f t="shared" si="4"/>
        <v>13</v>
      </c>
    </row>
    <row r="27" spans="1:18">
      <c r="A27" s="4">
        <v>26</v>
      </c>
      <c r="B27" s="5" t="s">
        <v>132</v>
      </c>
      <c r="C27" s="5" t="s">
        <v>133</v>
      </c>
      <c r="D27" s="5" t="s">
        <v>134</v>
      </c>
      <c r="E27" s="5" t="s">
        <v>15</v>
      </c>
      <c r="F27" s="5" t="s">
        <v>5</v>
      </c>
      <c r="G27" s="5" t="s">
        <v>52</v>
      </c>
      <c r="H27" s="4">
        <v>2022</v>
      </c>
      <c r="I27" s="4">
        <v>168000</v>
      </c>
      <c r="J27" s="4" t="s">
        <v>12</v>
      </c>
      <c r="K27" s="6">
        <v>45684</v>
      </c>
      <c r="L27" s="4">
        <v>12</v>
      </c>
      <c r="M27" s="4">
        <v>3060</v>
      </c>
      <c r="N27" s="4">
        <f t="shared" si="0"/>
        <v>0.06</v>
      </c>
      <c r="O27" s="4">
        <f t="shared" si="1"/>
        <v>10080</v>
      </c>
      <c r="P27" s="4">
        <f t="shared" si="2"/>
        <v>13140</v>
      </c>
      <c r="Q27" s="4" t="str">
        <f t="shared" si="3"/>
        <v>VIP</v>
      </c>
      <c r="R27" s="8">
        <f t="shared" si="4"/>
        <v>7</v>
      </c>
    </row>
    <row r="28" spans="1:18">
      <c r="A28" s="4">
        <v>27</v>
      </c>
      <c r="B28" s="5" t="s">
        <v>135</v>
      </c>
      <c r="C28" s="5" t="s">
        <v>136</v>
      </c>
      <c r="D28" s="5" t="s">
        <v>137</v>
      </c>
      <c r="E28" s="5" t="s">
        <v>4</v>
      </c>
      <c r="F28" s="5" t="s">
        <v>11</v>
      </c>
      <c r="G28" s="5" t="s">
        <v>56</v>
      </c>
      <c r="H28" s="4">
        <v>2023</v>
      </c>
      <c r="I28" s="4">
        <v>171000</v>
      </c>
      <c r="J28" s="4" t="s">
        <v>6</v>
      </c>
      <c r="K28" s="6">
        <v>45685</v>
      </c>
      <c r="L28" s="4">
        <v>12</v>
      </c>
      <c r="M28" s="4">
        <v>3120</v>
      </c>
      <c r="N28" s="4">
        <f t="shared" si="0"/>
        <v>0.03</v>
      </c>
      <c r="O28" s="4">
        <f t="shared" si="1"/>
        <v>5130</v>
      </c>
      <c r="P28" s="4">
        <f t="shared" si="2"/>
        <v>8250</v>
      </c>
      <c r="Q28" s="4" t="str">
        <f t="shared" si="3"/>
        <v>VIP</v>
      </c>
      <c r="R28" s="8">
        <f t="shared" si="4"/>
        <v>26</v>
      </c>
    </row>
    <row r="29" spans="1:18">
      <c r="A29" s="4">
        <v>28</v>
      </c>
      <c r="B29" s="5" t="s">
        <v>138</v>
      </c>
      <c r="C29" s="5" t="s">
        <v>139</v>
      </c>
      <c r="D29" s="5" t="s">
        <v>140</v>
      </c>
      <c r="E29" s="5" t="s">
        <v>13</v>
      </c>
      <c r="F29" s="5" t="s">
        <v>8</v>
      </c>
      <c r="G29" s="5" t="s">
        <v>60</v>
      </c>
      <c r="H29" s="4">
        <v>2010</v>
      </c>
      <c r="I29" s="4">
        <v>174000</v>
      </c>
      <c r="J29" s="4" t="s">
        <v>9</v>
      </c>
      <c r="K29" s="6">
        <v>45658</v>
      </c>
      <c r="L29" s="4">
        <v>12</v>
      </c>
      <c r="M29" s="4">
        <v>3180</v>
      </c>
      <c r="N29" s="4">
        <f t="shared" si="0"/>
        <v>0.05</v>
      </c>
      <c r="O29" s="4">
        <f t="shared" si="1"/>
        <v>8700</v>
      </c>
      <c r="P29" s="4">
        <f t="shared" si="2"/>
        <v>11880</v>
      </c>
      <c r="Q29" s="4" t="str">
        <f t="shared" si="3"/>
        <v>VIP</v>
      </c>
      <c r="R29" s="8">
        <f t="shared" si="4"/>
        <v>11</v>
      </c>
    </row>
    <row r="30" spans="1:18">
      <c r="A30" s="4">
        <v>29</v>
      </c>
      <c r="B30" s="5" t="s">
        <v>22</v>
      </c>
      <c r="C30" s="5" t="s">
        <v>141</v>
      </c>
      <c r="D30" s="5" t="s">
        <v>142</v>
      </c>
      <c r="E30" s="5" t="s">
        <v>17</v>
      </c>
      <c r="F30" s="5" t="s">
        <v>5</v>
      </c>
      <c r="G30" s="5" t="s">
        <v>65</v>
      </c>
      <c r="H30" s="4">
        <v>2011</v>
      </c>
      <c r="I30" s="4">
        <v>177000</v>
      </c>
      <c r="J30" s="4" t="s">
        <v>12</v>
      </c>
      <c r="K30" s="6">
        <v>45659</v>
      </c>
      <c r="L30" s="4">
        <v>12</v>
      </c>
      <c r="M30" s="4">
        <v>3240</v>
      </c>
      <c r="N30" s="4">
        <f t="shared" si="0"/>
        <v>0.06</v>
      </c>
      <c r="O30" s="4">
        <f t="shared" si="1"/>
        <v>10620</v>
      </c>
      <c r="P30" s="4">
        <f t="shared" si="2"/>
        <v>13860</v>
      </c>
      <c r="Q30" s="4" t="str">
        <f t="shared" si="3"/>
        <v>VIP</v>
      </c>
      <c r="R30" s="8">
        <f t="shared" si="4"/>
        <v>5</v>
      </c>
    </row>
    <row r="31" spans="1:18">
      <c r="A31" s="4">
        <v>30</v>
      </c>
      <c r="B31" s="5" t="s">
        <v>143</v>
      </c>
      <c r="C31" s="5" t="s">
        <v>144</v>
      </c>
      <c r="D31" s="5" t="s">
        <v>145</v>
      </c>
      <c r="E31" s="5" t="s">
        <v>7</v>
      </c>
      <c r="F31" s="5" t="s">
        <v>11</v>
      </c>
      <c r="G31" s="5" t="s">
        <v>69</v>
      </c>
      <c r="H31" s="4">
        <v>2012</v>
      </c>
      <c r="I31" s="4">
        <v>180000</v>
      </c>
      <c r="J31" s="4" t="s">
        <v>6</v>
      </c>
      <c r="K31" s="6">
        <v>45660</v>
      </c>
      <c r="L31" s="4">
        <v>12</v>
      </c>
      <c r="M31" s="4">
        <v>3300</v>
      </c>
      <c r="N31" s="4">
        <f t="shared" si="0"/>
        <v>0.03</v>
      </c>
      <c r="O31" s="4">
        <f t="shared" si="1"/>
        <v>5400</v>
      </c>
      <c r="P31" s="4">
        <f t="shared" si="2"/>
        <v>8700</v>
      </c>
      <c r="Q31" s="4" t="str">
        <f t="shared" si="3"/>
        <v>VIP</v>
      </c>
      <c r="R31" s="8">
        <f t="shared" si="4"/>
        <v>25</v>
      </c>
    </row>
    <row r="32" spans="1:18">
      <c r="A32" s="4">
        <v>31</v>
      </c>
      <c r="B32" s="5" t="s">
        <v>146</v>
      </c>
      <c r="C32" s="5" t="s">
        <v>147</v>
      </c>
      <c r="D32" s="5" t="s">
        <v>148</v>
      </c>
      <c r="E32" s="5" t="s">
        <v>4</v>
      </c>
      <c r="F32" s="5" t="s">
        <v>8</v>
      </c>
      <c r="G32" s="5" t="s">
        <v>48</v>
      </c>
      <c r="H32" s="4">
        <v>2013</v>
      </c>
      <c r="I32" s="4">
        <v>183000</v>
      </c>
      <c r="J32" s="4" t="s">
        <v>9</v>
      </c>
      <c r="K32" s="6">
        <v>45661</v>
      </c>
      <c r="L32" s="4">
        <v>12</v>
      </c>
      <c r="M32" s="4">
        <v>3360</v>
      </c>
      <c r="N32" s="4">
        <f t="shared" si="0"/>
        <v>0.05</v>
      </c>
      <c r="O32" s="4">
        <f t="shared" si="1"/>
        <v>9150</v>
      </c>
      <c r="P32" s="4">
        <f t="shared" si="2"/>
        <v>12510</v>
      </c>
      <c r="Q32" s="4" t="str">
        <f t="shared" si="3"/>
        <v>VIP</v>
      </c>
      <c r="R32" s="8">
        <f t="shared" si="4"/>
        <v>9</v>
      </c>
    </row>
    <row r="33" spans="1:18">
      <c r="A33" s="4">
        <v>32</v>
      </c>
      <c r="B33" s="5" t="s">
        <v>19</v>
      </c>
      <c r="C33" s="5" t="s">
        <v>149</v>
      </c>
      <c r="D33" s="5" t="s">
        <v>150</v>
      </c>
      <c r="E33" s="5" t="s">
        <v>13</v>
      </c>
      <c r="F33" s="5" t="s">
        <v>5</v>
      </c>
      <c r="G33" s="5" t="s">
        <v>52</v>
      </c>
      <c r="H33" s="4">
        <v>2014</v>
      </c>
      <c r="I33" s="4">
        <v>186000</v>
      </c>
      <c r="J33" s="4" t="s">
        <v>12</v>
      </c>
      <c r="K33" s="6">
        <v>45662</v>
      </c>
      <c r="L33" s="4">
        <v>12</v>
      </c>
      <c r="M33" s="4">
        <v>3420</v>
      </c>
      <c r="N33" s="4">
        <f t="shared" si="0"/>
        <v>0.06</v>
      </c>
      <c r="O33" s="4">
        <f t="shared" si="1"/>
        <v>11160</v>
      </c>
      <c r="P33" s="4">
        <f t="shared" si="2"/>
        <v>14580</v>
      </c>
      <c r="Q33" s="4" t="str">
        <f t="shared" si="3"/>
        <v>VIP</v>
      </c>
      <c r="R33" s="8">
        <f t="shared" si="4"/>
        <v>3</v>
      </c>
    </row>
    <row r="34" spans="1:18">
      <c r="A34" s="4">
        <v>33</v>
      </c>
      <c r="B34" s="5" t="s">
        <v>151</v>
      </c>
      <c r="C34" s="5" t="s">
        <v>152</v>
      </c>
      <c r="D34" s="5" t="s">
        <v>153</v>
      </c>
      <c r="E34" s="5" t="s">
        <v>17</v>
      </c>
      <c r="F34" s="5" t="s">
        <v>11</v>
      </c>
      <c r="G34" s="5" t="s">
        <v>56</v>
      </c>
      <c r="H34" s="4">
        <v>2015</v>
      </c>
      <c r="I34" s="4">
        <v>189000</v>
      </c>
      <c r="J34" s="4" t="s">
        <v>6</v>
      </c>
      <c r="K34" s="6">
        <v>45663</v>
      </c>
      <c r="L34" s="4">
        <v>12</v>
      </c>
      <c r="M34" s="4">
        <v>3480</v>
      </c>
      <c r="N34" s="4">
        <f t="shared" si="0"/>
        <v>0.03</v>
      </c>
      <c r="O34" s="4">
        <f t="shared" si="1"/>
        <v>5670</v>
      </c>
      <c r="P34" s="4">
        <f t="shared" si="2"/>
        <v>9150</v>
      </c>
      <c r="Q34" s="4" t="str">
        <f t="shared" si="3"/>
        <v>VIP</v>
      </c>
      <c r="R34" s="8">
        <f t="shared" si="4"/>
        <v>22</v>
      </c>
    </row>
    <row r="35" spans="1:18">
      <c r="A35" s="4">
        <v>34</v>
      </c>
      <c r="B35" s="5" t="s">
        <v>154</v>
      </c>
      <c r="C35" s="5" t="s">
        <v>155</v>
      </c>
      <c r="D35" s="5" t="s">
        <v>156</v>
      </c>
      <c r="E35" s="5" t="s">
        <v>7</v>
      </c>
      <c r="F35" s="5" t="s">
        <v>8</v>
      </c>
      <c r="G35" s="5" t="s">
        <v>60</v>
      </c>
      <c r="H35" s="4">
        <v>2016</v>
      </c>
      <c r="I35" s="4">
        <v>192000</v>
      </c>
      <c r="J35" s="4" t="s">
        <v>9</v>
      </c>
      <c r="K35" s="6">
        <v>45664</v>
      </c>
      <c r="L35" s="4">
        <v>12</v>
      </c>
      <c r="M35" s="4">
        <v>3540</v>
      </c>
      <c r="N35" s="4">
        <f t="shared" si="0"/>
        <v>0.05</v>
      </c>
      <c r="O35" s="4">
        <f t="shared" si="1"/>
        <v>9600</v>
      </c>
      <c r="P35" s="4">
        <f t="shared" si="2"/>
        <v>13140</v>
      </c>
      <c r="Q35" s="4" t="str">
        <f t="shared" si="3"/>
        <v>VIP</v>
      </c>
      <c r="R35" s="8">
        <f t="shared" si="4"/>
        <v>7</v>
      </c>
    </row>
    <row r="36" spans="1:18">
      <c r="A36" s="4">
        <v>35</v>
      </c>
      <c r="B36" s="5" t="s">
        <v>24</v>
      </c>
      <c r="C36" s="5" t="s">
        <v>157</v>
      </c>
      <c r="D36" s="5" t="s">
        <v>158</v>
      </c>
      <c r="E36" s="5" t="s">
        <v>15</v>
      </c>
      <c r="F36" s="5" t="s">
        <v>5</v>
      </c>
      <c r="G36" s="5" t="s">
        <v>65</v>
      </c>
      <c r="H36" s="4">
        <v>2017</v>
      </c>
      <c r="I36" s="4">
        <v>195000</v>
      </c>
      <c r="J36" s="4" t="s">
        <v>12</v>
      </c>
      <c r="K36" s="6">
        <v>45665</v>
      </c>
      <c r="L36" s="4">
        <v>12</v>
      </c>
      <c r="M36" s="4">
        <v>3600</v>
      </c>
      <c r="N36" s="4">
        <f t="shared" si="0"/>
        <v>0.06</v>
      </c>
      <c r="O36" s="4">
        <f t="shared" si="1"/>
        <v>11700</v>
      </c>
      <c r="P36" s="4">
        <f t="shared" si="2"/>
        <v>15300</v>
      </c>
      <c r="Q36" s="4" t="str">
        <f t="shared" si="3"/>
        <v>VIP</v>
      </c>
      <c r="R36" s="8">
        <f t="shared" si="4"/>
        <v>2</v>
      </c>
    </row>
    <row r="37" spans="1:18">
      <c r="A37" s="4">
        <v>36</v>
      </c>
      <c r="B37" s="5" t="s">
        <v>159</v>
      </c>
      <c r="C37" s="5" t="s">
        <v>160</v>
      </c>
      <c r="D37" s="5" t="s">
        <v>161</v>
      </c>
      <c r="E37" s="5" t="s">
        <v>4</v>
      </c>
      <c r="F37" s="5" t="s">
        <v>11</v>
      </c>
      <c r="G37" s="5" t="s">
        <v>69</v>
      </c>
      <c r="H37" s="4">
        <v>2018</v>
      </c>
      <c r="I37" s="4">
        <v>198000</v>
      </c>
      <c r="J37" s="4" t="s">
        <v>6</v>
      </c>
      <c r="K37" s="6">
        <v>45666</v>
      </c>
      <c r="L37" s="4">
        <v>12</v>
      </c>
      <c r="M37" s="4">
        <v>3660</v>
      </c>
      <c r="N37" s="4">
        <f t="shared" si="0"/>
        <v>0.03</v>
      </c>
      <c r="O37" s="4">
        <f t="shared" si="1"/>
        <v>5940</v>
      </c>
      <c r="P37" s="4">
        <f t="shared" si="2"/>
        <v>9600</v>
      </c>
      <c r="Q37" s="4" t="str">
        <f t="shared" si="3"/>
        <v>VIP</v>
      </c>
      <c r="R37" s="8">
        <f t="shared" si="4"/>
        <v>19</v>
      </c>
    </row>
    <row r="38" spans="1:18">
      <c r="A38" s="4">
        <v>37</v>
      </c>
      <c r="B38" s="5" t="s">
        <v>162</v>
      </c>
      <c r="C38" s="5" t="s">
        <v>163</v>
      </c>
      <c r="D38" s="5" t="s">
        <v>164</v>
      </c>
      <c r="E38" s="5" t="s">
        <v>13</v>
      </c>
      <c r="F38" s="5" t="s">
        <v>8</v>
      </c>
      <c r="G38" s="5" t="s">
        <v>48</v>
      </c>
      <c r="H38" s="4">
        <v>2019</v>
      </c>
      <c r="I38" s="4">
        <v>201000</v>
      </c>
      <c r="J38" s="4" t="s">
        <v>9</v>
      </c>
      <c r="K38" s="6">
        <v>45667</v>
      </c>
      <c r="L38" s="4">
        <v>12</v>
      </c>
      <c r="M38" s="4">
        <v>3720</v>
      </c>
      <c r="N38" s="4">
        <f t="shared" si="0"/>
        <v>0.05</v>
      </c>
      <c r="O38" s="4">
        <f t="shared" si="1"/>
        <v>10050</v>
      </c>
      <c r="P38" s="4">
        <f t="shared" si="2"/>
        <v>13770</v>
      </c>
      <c r="Q38" s="4" t="str">
        <f t="shared" si="3"/>
        <v>VIP</v>
      </c>
      <c r="R38" s="8">
        <f t="shared" si="4"/>
        <v>6</v>
      </c>
    </row>
    <row r="39" spans="1:18">
      <c r="A39" s="4">
        <v>38</v>
      </c>
      <c r="B39" s="5" t="s">
        <v>20</v>
      </c>
      <c r="C39" s="5" t="s">
        <v>165</v>
      </c>
      <c r="D39" s="5" t="s">
        <v>166</v>
      </c>
      <c r="E39" s="5" t="s">
        <v>17</v>
      </c>
      <c r="F39" s="5" t="s">
        <v>5</v>
      </c>
      <c r="G39" s="5" t="s">
        <v>52</v>
      </c>
      <c r="H39" s="4">
        <v>2020</v>
      </c>
      <c r="I39" s="4">
        <v>204000</v>
      </c>
      <c r="J39" s="4" t="s">
        <v>12</v>
      </c>
      <c r="K39" s="6">
        <v>45668</v>
      </c>
      <c r="L39" s="4">
        <v>12</v>
      </c>
      <c r="M39" s="4">
        <v>3780</v>
      </c>
      <c r="N39" s="4">
        <f t="shared" si="0"/>
        <v>0.06</v>
      </c>
      <c r="O39" s="4">
        <f t="shared" si="1"/>
        <v>12240</v>
      </c>
      <c r="P39" s="4">
        <f t="shared" si="2"/>
        <v>16020</v>
      </c>
      <c r="Q39" s="4" t="str">
        <f t="shared" si="3"/>
        <v>VIP</v>
      </c>
      <c r="R39" s="8">
        <f t="shared" si="4"/>
        <v>1</v>
      </c>
    </row>
    <row r="40" spans="1:18">
      <c r="A40" s="4">
        <v>39</v>
      </c>
      <c r="B40" s="5" t="s">
        <v>167</v>
      </c>
      <c r="C40" s="5" t="s">
        <v>168</v>
      </c>
      <c r="D40" s="5" t="s">
        <v>169</v>
      </c>
      <c r="E40" s="5" t="s">
        <v>7</v>
      </c>
      <c r="F40" s="5" t="s">
        <v>11</v>
      </c>
      <c r="G40" s="5" t="s">
        <v>56</v>
      </c>
      <c r="H40" s="4">
        <v>2021</v>
      </c>
      <c r="I40" s="4">
        <v>207000</v>
      </c>
      <c r="J40" s="4" t="s">
        <v>6</v>
      </c>
      <c r="K40" s="6">
        <v>45669</v>
      </c>
      <c r="L40" s="4">
        <v>12</v>
      </c>
      <c r="M40" s="4">
        <v>3840</v>
      </c>
      <c r="N40" s="4">
        <f t="shared" si="0"/>
        <v>0.03</v>
      </c>
      <c r="O40" s="4">
        <f t="shared" si="1"/>
        <v>6210</v>
      </c>
      <c r="P40" s="4">
        <f t="shared" si="2"/>
        <v>10050</v>
      </c>
      <c r="Q40" s="4" t="str">
        <f t="shared" si="3"/>
        <v>VIP</v>
      </c>
      <c r="R40" s="8">
        <f t="shared" si="4"/>
        <v>17</v>
      </c>
    </row>
    <row r="41" spans="1:18">
      <c r="A41" s="4">
        <v>40</v>
      </c>
      <c r="B41" s="5" t="s">
        <v>18</v>
      </c>
      <c r="C41" s="5" t="s">
        <v>170</v>
      </c>
      <c r="D41" s="5" t="s">
        <v>171</v>
      </c>
      <c r="E41" s="5" t="s">
        <v>15</v>
      </c>
      <c r="F41" s="5" t="s">
        <v>8</v>
      </c>
      <c r="G41" s="5" t="s">
        <v>60</v>
      </c>
      <c r="H41" s="4">
        <v>2022</v>
      </c>
      <c r="I41" s="4">
        <v>210000</v>
      </c>
      <c r="J41" s="4" t="s">
        <v>9</v>
      </c>
      <c r="K41" s="6">
        <v>45670</v>
      </c>
      <c r="L41" s="4">
        <v>12</v>
      </c>
      <c r="M41" s="4">
        <v>3900</v>
      </c>
      <c r="N41" s="4">
        <f t="shared" si="0"/>
        <v>0.05</v>
      </c>
      <c r="O41" s="4">
        <f t="shared" si="1"/>
        <v>10500</v>
      </c>
      <c r="P41" s="4">
        <f t="shared" si="2"/>
        <v>14400</v>
      </c>
      <c r="Q41" s="4" t="str">
        <f t="shared" si="3"/>
        <v>VIP</v>
      </c>
      <c r="R41" s="8">
        <f t="shared" si="4"/>
        <v>4</v>
      </c>
    </row>
  </sheetData>
  <conditionalFormatting sqref="T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{923ab7b6-0302-4749-a96d-4cfd3e24a76e}</x14:id>
        </ext>
      </extLst>
    </cfRule>
  </conditionalFormatting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3ab7b6-0302-4749-a96d-4cfd3e24a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Frontend</vt:lpstr>
      <vt:lpstr>Sheet2</vt:lpstr>
      <vt:lpstr>Assurances_Auto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naceri</cp:lastModifiedBy>
  <dcterms:created xsi:type="dcterms:W3CDTF">2025-12-28T12:53:00Z</dcterms:created>
  <dcterms:modified xsi:type="dcterms:W3CDTF">2026-01-01T22:03:39Z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4642EACE5C4742809A15FFE41BD87FD0_13</vt:lpwstr>
  </property>
  <property fmtid="{D5CDD505-2E9C-101B-9397-08002B2CF9AE}" pid="3" name="KSOProductBuildVer">
    <vt:lpwstr>3084-12.2.0.23197</vt:lpwstr>
  </property>
</Properties>
</file>